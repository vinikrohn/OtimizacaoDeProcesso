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1" sheetId="1" state="visible" r:id="rId3"/>
    <sheet name="Ex2" sheetId="2" state="visible" r:id="rId4"/>
    <sheet name="Ex3" sheetId="3" state="visible" r:id="rId5"/>
    <sheet name="Ex4" sheetId="4" state="visible" r:id="rId6"/>
    <sheet name="Ex5" sheetId="5" state="visible" r:id="rId7"/>
    <sheet name="Ex6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<sst xmlns="http://schemas.openxmlformats.org/spreadsheetml/2006/main" count="279" uniqueCount="20">
  <si>
    <t xml:space="preserve">BASE</t>
  </si>
  <si>
    <t xml:space="preserve">X1</t>
  </si>
  <si>
    <t xml:space="preserve">X2</t>
  </si>
  <si>
    <t xml:space="preserve">F1</t>
  </si>
  <si>
    <t xml:space="preserve">F2</t>
  </si>
  <si>
    <t xml:space="preserve">B</t>
  </si>
  <si>
    <t xml:space="preserve">RAZAO</t>
  </si>
  <si>
    <t xml:space="preserve">Z</t>
  </si>
  <si>
    <t xml:space="preserve">RESPOSTA</t>
  </si>
  <si>
    <t xml:space="preserve">X3</t>
  </si>
  <si>
    <t xml:space="preserve">E1</t>
  </si>
  <si>
    <t xml:space="preserve">E2</t>
  </si>
  <si>
    <t xml:space="preserve">A1</t>
  </si>
  <si>
    <t xml:space="preserve">A2</t>
  </si>
  <si>
    <t xml:space="preserve">M = 1000</t>
  </si>
  <si>
    <t xml:space="preserve">Minimizar C = Maximizar -C</t>
  </si>
  <si>
    <t xml:space="preserve">MIN</t>
  </si>
  <si>
    <t xml:space="preserve">A3</t>
  </si>
  <si>
    <t xml:space="preserve">F3</t>
  </si>
  <si>
    <t xml:space="preserve">3ª restrição: -2x1 + x2 ≥ -2  →  2x1 - x2 ≤ 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</si>
</sst>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3</v>
      </c>
      <c r="B2" s="0" t="n">
        <v>6</v>
      </c>
      <c r="C2" s="0" t="n">
        <v>4</v>
      </c>
      <c r="D2" s="0" t="n">
        <v>1</v>
      </c>
      <c r="E2" s="0" t="n">
        <v>0</v>
      </c>
      <c r="F2" s="0" t="n">
        <v>24</v>
      </c>
      <c r="G2" s="0" t="n">
        <f aca="false">F2/B2</f>
        <v>4</v>
      </c>
    </row>
    <row r="3" customFormat="false" ht="15" hidden="false" customHeight="false" outlineLevel="0" collapsed="false">
      <c r="A3" s="0" t="s">
        <v>4</v>
      </c>
      <c r="B3" s="0" t="n">
        <v>1</v>
      </c>
      <c r="C3" s="0" t="n">
        <v>2</v>
      </c>
      <c r="D3" s="0" t="n">
        <v>0</v>
      </c>
      <c r="E3" s="0" t="n">
        <v>1</v>
      </c>
      <c r="F3" s="0" t="n">
        <v>6</v>
      </c>
      <c r="G3" s="0" t="n">
        <f aca="false">F3/B3</f>
        <v>6</v>
      </c>
    </row>
    <row r="4" customFormat="false" ht="15" hidden="false" customHeight="false" outlineLevel="0" collapsed="false">
      <c r="A4" s="0" t="s">
        <v>7</v>
      </c>
      <c r="B4" s="0" t="n">
        <v>-5</v>
      </c>
      <c r="C4" s="0" t="n">
        <v>-4</v>
      </c>
      <c r="D4" s="0" t="n">
        <v>0</v>
      </c>
      <c r="E4" s="0" t="n">
        <v>0</v>
      </c>
      <c r="F4" s="0" t="n">
        <v>0</v>
      </c>
    </row>
    <row r="7" customFormat="false" ht="15" hidden="false" customHeight="false" outlineLevel="0" collapsed="false">
      <c r="A7" s="0" t="s">
        <v>0</v>
      </c>
      <c r="B7" s="0" t="s">
        <v>1</v>
      </c>
      <c r="C7" s="0" t="s">
        <v>2</v>
      </c>
      <c r="D7" s="0" t="s">
        <v>3</v>
      </c>
      <c r="E7" s="0" t="s">
        <v>4</v>
      </c>
      <c r="F7" s="0" t="s">
        <v>5</v>
      </c>
      <c r="G7" s="0" t="s">
        <v>6</v>
      </c>
    </row>
    <row r="8" customFormat="false" ht="15" hidden="false" customHeight="false" outlineLevel="0" collapsed="false">
      <c r="A8" s="0" t="s">
        <v>1</v>
      </c>
      <c r="B8" s="0" t="n">
        <f aca="false">B2/6</f>
        <v>1</v>
      </c>
      <c r="C8" s="0" t="n">
        <f aca="false">C2/6</f>
        <v>0.666666666666667</v>
      </c>
      <c r="D8" s="0" t="n">
        <f aca="false">D2/6</f>
        <v>0.166666666666667</v>
      </c>
      <c r="E8" s="0" t="n">
        <f aca="false">E2/6</f>
        <v>0</v>
      </c>
      <c r="F8" s="0" t="n">
        <f aca="false">F2/6</f>
        <v>4</v>
      </c>
      <c r="G8" s="0" t="n">
        <f aca="false">F8/C8</f>
        <v>6</v>
      </c>
    </row>
    <row r="9" customFormat="false" ht="15" hidden="false" customHeight="false" outlineLevel="0" collapsed="false">
      <c r="A9" s="0" t="s">
        <v>4</v>
      </c>
      <c r="B9" s="0" t="n">
        <f aca="false">B3-B8</f>
        <v>0</v>
      </c>
      <c r="C9" s="0" t="n">
        <f aca="false">C3-C8</f>
        <v>1.33333333333333</v>
      </c>
      <c r="D9" s="0" t="n">
        <f aca="false">D3-D8</f>
        <v>-0.166666666666667</v>
      </c>
      <c r="E9" s="0" t="n">
        <f aca="false">E3-E8</f>
        <v>1</v>
      </c>
      <c r="F9" s="0" t="n">
        <f aca="false">F3-F8</f>
        <v>2</v>
      </c>
      <c r="G9" s="0" t="n">
        <f aca="false">F9/C9</f>
        <v>1.5</v>
      </c>
    </row>
    <row r="10" customFormat="false" ht="15" hidden="false" customHeight="false" outlineLevel="0" collapsed="false">
      <c r="A10" s="0" t="s">
        <v>7</v>
      </c>
      <c r="B10" s="0" t="n">
        <f aca="false">B4+5*B8</f>
        <v>0</v>
      </c>
      <c r="C10" s="0" t="n">
        <f aca="false">C4+5*C8</f>
        <v>-0.666666666666667</v>
      </c>
      <c r="D10" s="0" t="n">
        <f aca="false">D4+5*D8</f>
        <v>0.833333333333333</v>
      </c>
      <c r="E10" s="0" t="n">
        <f aca="false">E4+5*E8</f>
        <v>0</v>
      </c>
      <c r="F10" s="0" t="n">
        <f aca="false">F4+5*F8</f>
        <v>20</v>
      </c>
    </row>
    <row r="13" customFormat="false" ht="15" hidden="false" customHeight="false" outlineLevel="0" collapsed="false">
      <c r="A13" s="0" t="s">
        <v>0</v>
      </c>
      <c r="B13" s="0" t="s">
        <v>1</v>
      </c>
      <c r="C13" s="0" t="s">
        <v>2</v>
      </c>
      <c r="D13" s="0" t="s">
        <v>3</v>
      </c>
      <c r="E13" s="0" t="s">
        <v>4</v>
      </c>
      <c r="F13" s="0" t="s">
        <v>5</v>
      </c>
    </row>
    <row r="14" customFormat="false" ht="15" hidden="false" customHeight="false" outlineLevel="0" collapsed="false">
      <c r="A14" s="0" t="s">
        <v>1</v>
      </c>
      <c r="B14" s="0" t="n">
        <f aca="false">B8-(2/3)*B15</f>
        <v>1</v>
      </c>
      <c r="C14" s="0" t="n">
        <f aca="false">C8-(2/3)*C15</f>
        <v>0</v>
      </c>
      <c r="D14" s="0" t="n">
        <f aca="false">D8-(2/3)*D15</f>
        <v>0.25</v>
      </c>
      <c r="E14" s="0" t="n">
        <f aca="false">E8-(2/3)*E15</f>
        <v>-0.5</v>
      </c>
      <c r="F14" s="0" t="n">
        <f aca="false">F8-(2/3)*F15</f>
        <v>3</v>
      </c>
    </row>
    <row r="15" customFormat="false" ht="15" hidden="false" customHeight="false" outlineLevel="0" collapsed="false">
      <c r="A15" s="0" t="s">
        <v>2</v>
      </c>
      <c r="B15" s="0" t="n">
        <f aca="false">B9/(4/3)</f>
        <v>0</v>
      </c>
      <c r="C15" s="0" t="n">
        <f aca="false">C9/(4/3)</f>
        <v>1</v>
      </c>
      <c r="D15" s="0" t="n">
        <f aca="false">D9/(4/3)</f>
        <v>-0.125</v>
      </c>
      <c r="E15" s="0" t="n">
        <f aca="false">E9/(4/3)</f>
        <v>0.75</v>
      </c>
      <c r="F15" s="0" t="n">
        <f aca="false">F9/(4/3)</f>
        <v>1.5</v>
      </c>
    </row>
    <row r="16" customFormat="false" ht="15" hidden="false" customHeight="false" outlineLevel="0" collapsed="false">
      <c r="A16" s="0" t="s">
        <v>7</v>
      </c>
      <c r="B16" s="0" t="n">
        <f aca="false">B10+(2/3)*B15</f>
        <v>0</v>
      </c>
      <c r="C16" s="0" t="n">
        <f aca="false">C10+(2/3)*C15</f>
        <v>0</v>
      </c>
      <c r="D16" s="0" t="n">
        <f aca="false">D10+(2/3)*D15</f>
        <v>0.75</v>
      </c>
      <c r="E16" s="0" t="n">
        <f aca="false">E10+(2/3)*E15</f>
        <v>0.5</v>
      </c>
      <c r="F16" s="0" t="n">
        <f aca="false">F10+(2/3)*F15</f>
        <v>21</v>
      </c>
    </row>
    <row r="18" customFormat="false" ht="15" hidden="false" customHeight="false" outlineLevel="0" collapsed="false">
      <c r="A18" s="0" t="s">
        <v>8</v>
      </c>
    </row>
    <row r="19" customFormat="false" ht="15" hidden="false" customHeight="false" outlineLevel="0" collapsed="false">
      <c r="A19" s="0" t="s">
        <v>1</v>
      </c>
      <c r="B19" s="0" t="n">
        <f aca="false">F14</f>
        <v>3</v>
      </c>
    </row>
    <row r="20" customFormat="false" ht="15" hidden="false" customHeight="false" outlineLevel="0" collapsed="false">
      <c r="A20" s="0" t="s">
        <v>2</v>
      </c>
      <c r="B20" s="0" t="n">
        <f aca="false">F15</f>
        <v>1.5</v>
      </c>
    </row>
    <row r="21" customFormat="false" ht="15" hidden="false" customHeight="false" outlineLevel="0" collapsed="false">
      <c r="A21" s="0" t="s">
        <v>7</v>
      </c>
      <c r="B21" s="0" t="n">
        <f aca="false">F16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9</v>
      </c>
      <c r="E1" s="0" t="s">
        <v>3</v>
      </c>
      <c r="F1" s="0" t="s">
        <v>4</v>
      </c>
      <c r="G1" s="0" t="s">
        <v>5</v>
      </c>
      <c r="H1" s="0" t="s">
        <v>6</v>
      </c>
    </row>
    <row r="2" customFormat="false" ht="15" hidden="false" customHeight="false" outlineLevel="0" collapsed="false">
      <c r="A2" s="0" t="s">
        <v>3</v>
      </c>
      <c r="B2" s="0" t="n">
        <v>1</v>
      </c>
      <c r="C2" s="0" t="n">
        <v>2</v>
      </c>
      <c r="D2" s="0" t="n">
        <v>1</v>
      </c>
      <c r="E2" s="0" t="n">
        <v>1</v>
      </c>
      <c r="F2" s="0" t="n">
        <v>0</v>
      </c>
      <c r="G2" s="0" t="n">
        <v>10</v>
      </c>
      <c r="H2" s="0" t="n">
        <f aca="false">G2/D2</f>
        <v>10</v>
      </c>
    </row>
    <row r="3" customFormat="false" ht="15" hidden="false" customHeight="false" outlineLevel="0" collapsed="false">
      <c r="A3" s="0" t="s">
        <v>4</v>
      </c>
      <c r="B3" s="0" t="n">
        <v>3</v>
      </c>
      <c r="C3" s="0" t="n">
        <v>0</v>
      </c>
      <c r="D3" s="0" t="n">
        <v>2</v>
      </c>
      <c r="E3" s="0" t="n">
        <v>0</v>
      </c>
      <c r="F3" s="0" t="n">
        <v>1</v>
      </c>
      <c r="G3" s="0" t="n">
        <v>15</v>
      </c>
      <c r="H3" s="0" t="n">
        <f aca="false">G3/D3</f>
        <v>7.5</v>
      </c>
    </row>
    <row r="4" customFormat="false" ht="15" hidden="false" customHeight="false" outlineLevel="0" collapsed="false">
      <c r="A4" s="0" t="s">
        <v>7</v>
      </c>
      <c r="B4" s="0" t="n">
        <v>-3</v>
      </c>
      <c r="C4" s="0" t="n">
        <v>-2</v>
      </c>
      <c r="D4" s="0" t="n">
        <v>-5</v>
      </c>
      <c r="E4" s="0" t="n">
        <v>0</v>
      </c>
      <c r="F4" s="0" t="n">
        <v>0</v>
      </c>
      <c r="G4" s="0" t="n">
        <v>0</v>
      </c>
    </row>
    <row r="7" customFormat="false" ht="15" hidden="false" customHeight="false" outlineLevel="0" collapsed="false">
      <c r="A7" s="0" t="s">
        <v>0</v>
      </c>
      <c r="B7" s="0" t="s">
        <v>1</v>
      </c>
      <c r="C7" s="0" t="s">
        <v>2</v>
      </c>
      <c r="D7" s="0" t="s">
        <v>9</v>
      </c>
      <c r="E7" s="0" t="s">
        <v>3</v>
      </c>
      <c r="F7" s="0" t="s">
        <v>4</v>
      </c>
      <c r="G7" s="0" t="s">
        <v>5</v>
      </c>
      <c r="H7" s="0" t="s">
        <v>6</v>
      </c>
    </row>
    <row r="8" customFormat="false" ht="15" hidden="false" customHeight="false" outlineLevel="0" collapsed="false">
      <c r="A8" s="0" t="s">
        <v>3</v>
      </c>
      <c r="B8" s="0" t="n">
        <f aca="false">B2-B9</f>
        <v>-0.5</v>
      </c>
      <c r="C8" s="0" t="n">
        <f aca="false">C2-C9</f>
        <v>2</v>
      </c>
      <c r="D8" s="0" t="n">
        <f aca="false">D2-D9</f>
        <v>0</v>
      </c>
      <c r="E8" s="0" t="n">
        <f aca="false">E2-E9</f>
        <v>1</v>
      </c>
      <c r="F8" s="0" t="n">
        <f aca="false">F2-F9</f>
        <v>-0.5</v>
      </c>
      <c r="G8" s="0" t="n">
        <f aca="false">G2-G9</f>
        <v>2.5</v>
      </c>
      <c r="H8" s="0" t="n">
        <f aca="false">G8/C8</f>
        <v>1.25</v>
      </c>
    </row>
    <row r="9" customFormat="false" ht="15" hidden="false" customHeight="false" outlineLevel="0" collapsed="false">
      <c r="A9" s="0" t="s">
        <v>9</v>
      </c>
      <c r="B9" s="0" t="n">
        <f aca="false">B3/2</f>
        <v>1.5</v>
      </c>
      <c r="C9" s="0" t="n">
        <f aca="false">C3/2</f>
        <v>0</v>
      </c>
      <c r="D9" s="0" t="n">
        <f aca="false">D3/2</f>
        <v>1</v>
      </c>
      <c r="E9" s="0" t="n">
        <f aca="false">E3/2</f>
        <v>0</v>
      </c>
      <c r="F9" s="0" t="n">
        <f aca="false">F3/2</f>
        <v>0.5</v>
      </c>
      <c r="G9" s="0" t="n">
        <f aca="false">G3/2</f>
        <v>7.5</v>
      </c>
    </row>
    <row r="10" customFormat="false" ht="15" hidden="false" customHeight="false" outlineLevel="0" collapsed="false">
      <c r="A10" s="0" t="s">
        <v>7</v>
      </c>
      <c r="B10" s="0" t="n">
        <f aca="false">B4+5*B9</f>
        <v>4.5</v>
      </c>
      <c r="C10" s="0" t="n">
        <f aca="false">C4+5*C9</f>
        <v>-2</v>
      </c>
      <c r="D10" s="0" t="n">
        <f aca="false">D4+5*D9</f>
        <v>0</v>
      </c>
      <c r="E10" s="0" t="n">
        <f aca="false">E4+5*E9</f>
        <v>0</v>
      </c>
      <c r="F10" s="0" t="n">
        <f aca="false">F4+5*F9</f>
        <v>2.5</v>
      </c>
      <c r="G10" s="0" t="n">
        <f aca="false">G4+5*G9</f>
        <v>37.5</v>
      </c>
    </row>
    <row r="13" customFormat="false" ht="15" hidden="false" customHeight="false" outlineLevel="0" collapsed="false">
      <c r="A13" s="0" t="s">
        <v>0</v>
      </c>
      <c r="B13" s="0" t="s">
        <v>1</v>
      </c>
      <c r="C13" s="0" t="s">
        <v>2</v>
      </c>
      <c r="D13" s="0" t="s">
        <v>9</v>
      </c>
      <c r="E13" s="0" t="s">
        <v>3</v>
      </c>
      <c r="F13" s="0" t="s">
        <v>4</v>
      </c>
      <c r="G13" s="0" t="s">
        <v>5</v>
      </c>
    </row>
    <row r="14" customFormat="false" ht="15" hidden="false" customHeight="false" outlineLevel="0" collapsed="false">
      <c r="A14" s="0" t="s">
        <v>2</v>
      </c>
      <c r="B14" s="0" t="n">
        <f aca="false">B8/2</f>
        <v>-0.25</v>
      </c>
      <c r="C14" s="0" t="n">
        <f aca="false">C8/2</f>
        <v>1</v>
      </c>
      <c r="D14" s="0" t="n">
        <f aca="false">D8/2</f>
        <v>0</v>
      </c>
      <c r="E14" s="0" t="n">
        <f aca="false">E8/2</f>
        <v>0.5</v>
      </c>
      <c r="F14" s="0" t="n">
        <f aca="false">F8/2</f>
        <v>-0.25</v>
      </c>
      <c r="G14" s="0" t="n">
        <f aca="false">G8/2</f>
        <v>1.25</v>
      </c>
    </row>
    <row r="15" customFormat="false" ht="15" hidden="false" customHeight="false" outlineLevel="0" collapsed="false">
      <c r="A15" s="0" t="s">
        <v>9</v>
      </c>
      <c r="B15" s="0" t="n">
        <f aca="false">B9</f>
        <v>1.5</v>
      </c>
      <c r="C15" s="0" t="n">
        <f aca="false">C9</f>
        <v>0</v>
      </c>
      <c r="D15" s="0" t="n">
        <f aca="false">D9</f>
        <v>1</v>
      </c>
      <c r="E15" s="0" t="n">
        <f aca="false">E9</f>
        <v>0</v>
      </c>
      <c r="F15" s="0" t="n">
        <f aca="false">F9</f>
        <v>0.5</v>
      </c>
      <c r="G15" s="0" t="n">
        <f aca="false">G9</f>
        <v>7.5</v>
      </c>
    </row>
    <row r="16" customFormat="false" ht="15" hidden="false" customHeight="false" outlineLevel="0" collapsed="false">
      <c r="A16" s="0" t="s">
        <v>7</v>
      </c>
      <c r="B16" s="0" t="n">
        <f aca="false">B10+2*B14</f>
        <v>4</v>
      </c>
      <c r="C16" s="0" t="n">
        <f aca="false">C10+2*C14</f>
        <v>0</v>
      </c>
      <c r="D16" s="0" t="n">
        <f aca="false">D10+2*D14</f>
        <v>0</v>
      </c>
      <c r="E16" s="0" t="n">
        <f aca="false">E10+2*E14</f>
        <v>1</v>
      </c>
      <c r="F16" s="0" t="n">
        <f aca="false">F10+2*F14</f>
        <v>2</v>
      </c>
      <c r="G16" s="0" t="n">
        <f aca="false">G10+2*G14</f>
        <v>40</v>
      </c>
    </row>
    <row r="18" customFormat="false" ht="15" hidden="false" customHeight="false" outlineLevel="0" collapsed="false">
      <c r="A18" s="0" t="s">
        <v>8</v>
      </c>
    </row>
    <row r="19" customFormat="false" ht="15" hidden="false" customHeight="false" outlineLevel="0" collapsed="false">
      <c r="A19" s="0" t="s">
        <v>1</v>
      </c>
      <c r="B19" s="0" t="n">
        <v>0</v>
      </c>
    </row>
    <row r="20" customFormat="false" ht="15" hidden="false" customHeight="false" outlineLevel="0" collapsed="false">
      <c r="A20" s="0" t="s">
        <v>2</v>
      </c>
      <c r="B20" s="0" t="n">
        <f aca="false">G14</f>
        <v>1.25</v>
      </c>
    </row>
    <row r="21" customFormat="false" ht="15" hidden="false" customHeight="false" outlineLevel="0" collapsed="false">
      <c r="A21" s="0" t="s">
        <v>9</v>
      </c>
      <c r="B21" s="0" t="n">
        <f aca="false">G15</f>
        <v>7.5</v>
      </c>
    </row>
    <row r="22" customFormat="false" ht="15" hidden="false" customHeight="false" outlineLevel="0" collapsed="false">
      <c r="A22" s="0" t="s">
        <v>7</v>
      </c>
      <c r="B22" s="0" t="n">
        <f aca="false">G16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5</v>
      </c>
      <c r="K1" s="0" t="s">
        <v>14</v>
      </c>
    </row>
    <row r="2" customFormat="false" ht="15" hidden="false" customHeight="false" outlineLevel="0" collapsed="false">
      <c r="A2" s="0" t="s">
        <v>12</v>
      </c>
      <c r="B2" s="0" t="n">
        <v>1</v>
      </c>
      <c r="C2" s="0" t="n">
        <v>3</v>
      </c>
      <c r="D2" s="0" t="n">
        <v>-1</v>
      </c>
      <c r="E2" s="0" t="n">
        <v>0</v>
      </c>
      <c r="F2" s="0" t="n">
        <v>1</v>
      </c>
      <c r="G2" s="0" t="n">
        <v>0</v>
      </c>
      <c r="H2" s="0" t="n">
        <v>6</v>
      </c>
      <c r="K2" s="0" t="s">
        <v>15</v>
      </c>
    </row>
    <row r="3" customFormat="false" ht="15" hidden="false" customHeight="false" outlineLevel="0" collapsed="false">
      <c r="A3" s="0" t="s">
        <v>13</v>
      </c>
      <c r="B3" s="0" t="n">
        <v>2</v>
      </c>
      <c r="C3" s="0" t="n">
        <v>1</v>
      </c>
      <c r="D3" s="0" t="n">
        <v>0</v>
      </c>
      <c r="E3" s="0" t="n">
        <v>-1</v>
      </c>
      <c r="F3" s="0" t="n">
        <v>0</v>
      </c>
      <c r="G3" s="0" t="n">
        <v>1</v>
      </c>
      <c r="H3" s="0" t="n">
        <v>4</v>
      </c>
    </row>
    <row r="4" customFormat="false" ht="15" hidden="false" customHeight="false" outlineLevel="0" collapsed="false">
      <c r="A4" s="0" t="s">
        <v>7</v>
      </c>
      <c r="B4" s="0" t="n">
        <v>2</v>
      </c>
      <c r="C4" s="0" t="n">
        <v>3</v>
      </c>
      <c r="D4" s="0" t="n">
        <v>0</v>
      </c>
      <c r="E4" s="0" t="n">
        <v>0</v>
      </c>
      <c r="F4" s="0" t="n">
        <v>1000</v>
      </c>
      <c r="G4" s="0" t="n">
        <v>1000</v>
      </c>
      <c r="H4" s="0" t="n">
        <v>0</v>
      </c>
    </row>
    <row r="7" customFormat="false" ht="15" hidden="false" customHeight="false" outlineLevel="0" collapsed="false">
      <c r="A7" s="0" t="s">
        <v>0</v>
      </c>
      <c r="B7" s="0" t="s">
        <v>1</v>
      </c>
      <c r="C7" s="0" t="s">
        <v>2</v>
      </c>
      <c r="D7" s="0" t="s">
        <v>10</v>
      </c>
      <c r="E7" s="0" t="s">
        <v>11</v>
      </c>
      <c r="F7" s="0" t="s">
        <v>12</v>
      </c>
      <c r="G7" s="0" t="s">
        <v>13</v>
      </c>
      <c r="H7" s="0" t="s">
        <v>5</v>
      </c>
      <c r="I7" s="0" t="s">
        <v>6</v>
      </c>
    </row>
    <row r="8" customFormat="false" ht="15" hidden="false" customHeight="false" outlineLevel="0" collapsed="false">
      <c r="A8" s="0" t="s">
        <v>12</v>
      </c>
      <c r="B8" s="0" t="n">
        <f aca="false">B2</f>
        <v>1</v>
      </c>
      <c r="C8" s="0" t="n">
        <f aca="false">C2</f>
        <v>3</v>
      </c>
      <c r="D8" s="0" t="n">
        <f aca="false">D2</f>
        <v>-1</v>
      </c>
      <c r="E8" s="0" t="n">
        <f aca="false">E2</f>
        <v>0</v>
      </c>
      <c r="F8" s="0" t="n">
        <f aca="false">F2</f>
        <v>1</v>
      </c>
      <c r="G8" s="0" t="n">
        <f aca="false">G2</f>
        <v>0</v>
      </c>
      <c r="H8" s="0" t="n">
        <f aca="false">H2</f>
        <v>6</v>
      </c>
      <c r="I8" s="0" t="n">
        <f aca="false">H8/C8</f>
        <v>2</v>
      </c>
    </row>
    <row r="9" customFormat="false" ht="15" hidden="false" customHeight="false" outlineLevel="0" collapsed="false">
      <c r="A9" s="0" t="s">
        <v>13</v>
      </c>
      <c r="B9" s="0" t="n">
        <f aca="false">B3</f>
        <v>2</v>
      </c>
      <c r="C9" s="0" t="n">
        <f aca="false">C3</f>
        <v>1</v>
      </c>
      <c r="D9" s="0" t="n">
        <f aca="false">D3</f>
        <v>0</v>
      </c>
      <c r="E9" s="0" t="n">
        <f aca="false">E3</f>
        <v>-1</v>
      </c>
      <c r="F9" s="0" t="n">
        <f aca="false">F3</f>
        <v>0</v>
      </c>
      <c r="G9" s="0" t="n">
        <f aca="false">G3</f>
        <v>1</v>
      </c>
      <c r="H9" s="0" t="n">
        <f aca="false">H3</f>
        <v>4</v>
      </c>
      <c r="I9" s="0" t="n">
        <f aca="false">H9/C9</f>
        <v>4</v>
      </c>
    </row>
    <row r="10" customFormat="false" ht="15" hidden="false" customHeight="false" outlineLevel="0" collapsed="false">
      <c r="A10" s="0" t="s">
        <v>7</v>
      </c>
      <c r="B10" s="0" t="n">
        <f aca="false">B4-1000*B2-1000*B3</f>
        <v>-2998</v>
      </c>
      <c r="C10" s="0" t="n">
        <f aca="false">C4-1000*C2-1000*C3</f>
        <v>-3997</v>
      </c>
      <c r="D10" s="0" t="n">
        <f aca="false">D4-1000*D2-1000*D3</f>
        <v>1000</v>
      </c>
      <c r="E10" s="0" t="n">
        <f aca="false">E4-1000*E2-1000*E3</f>
        <v>1000</v>
      </c>
      <c r="F10" s="0" t="n">
        <f aca="false">F4-1000*F2-1000*F3</f>
        <v>0</v>
      </c>
      <c r="G10" s="0" t="n">
        <f aca="false">G4-1000*G2-1000*G3</f>
        <v>0</v>
      </c>
      <c r="H10" s="0" t="n">
        <f aca="false">H4-1000*H2-1000*H3</f>
        <v>-10000</v>
      </c>
    </row>
    <row r="13" customFormat="false" ht="15" hidden="false" customHeight="false" outlineLevel="0" collapsed="false">
      <c r="A13" s="0" t="s">
        <v>0</v>
      </c>
      <c r="B13" s="0" t="s">
        <v>1</v>
      </c>
      <c r="C13" s="0" t="s">
        <v>2</v>
      </c>
      <c r="D13" s="0" t="s">
        <v>10</v>
      </c>
      <c r="E13" s="0" t="s">
        <v>11</v>
      </c>
      <c r="F13" s="0" t="s">
        <v>12</v>
      </c>
      <c r="G13" s="0" t="s">
        <v>13</v>
      </c>
      <c r="H13" s="0" t="s">
        <v>5</v>
      </c>
      <c r="I13" s="0" t="s">
        <v>6</v>
      </c>
    </row>
    <row r="14" customFormat="false" ht="15" hidden="false" customHeight="false" outlineLevel="0" collapsed="false">
      <c r="A14" s="0" t="s">
        <v>2</v>
      </c>
      <c r="B14" s="0" t="n">
        <f aca="false">B8/3</f>
        <v>0.333333333333333</v>
      </c>
      <c r="C14" s="0" t="n">
        <f aca="false">C8/3</f>
        <v>1</v>
      </c>
      <c r="D14" s="0" t="n">
        <f aca="false">D8/3</f>
        <v>-0.333333333333333</v>
      </c>
      <c r="E14" s="0" t="n">
        <f aca="false">E8/3</f>
        <v>0</v>
      </c>
      <c r="F14" s="0" t="n">
        <f aca="false">F8/3</f>
        <v>0.333333333333333</v>
      </c>
      <c r="G14" s="0" t="n">
        <f aca="false">G8/3</f>
        <v>0</v>
      </c>
      <c r="H14" s="0" t="n">
        <f aca="false">H8/3</f>
        <v>2</v>
      </c>
      <c r="I14" s="0" t="n">
        <f aca="false">H14/B14</f>
        <v>6</v>
      </c>
    </row>
    <row r="15" customFormat="false" ht="15" hidden="false" customHeight="false" outlineLevel="0" collapsed="false">
      <c r="A15" s="0" t="s">
        <v>13</v>
      </c>
      <c r="B15" s="0" t="n">
        <f aca="false">B9-B14</f>
        <v>1.66666666666667</v>
      </c>
      <c r="C15" s="0" t="n">
        <f aca="false">C9-C14</f>
        <v>0</v>
      </c>
      <c r="D15" s="0" t="n">
        <f aca="false">D9-D14</f>
        <v>0.333333333333333</v>
      </c>
      <c r="E15" s="0" t="n">
        <f aca="false">E9-E14</f>
        <v>-1</v>
      </c>
      <c r="F15" s="0" t="n">
        <f aca="false">F9-F14</f>
        <v>-0.333333333333333</v>
      </c>
      <c r="G15" s="0" t="n">
        <f aca="false">G9-G14</f>
        <v>1</v>
      </c>
      <c r="H15" s="0" t="n">
        <f aca="false">H9-H14</f>
        <v>2</v>
      </c>
      <c r="I15" s="0" t="n">
        <f aca="false">H15/B15</f>
        <v>1.2</v>
      </c>
    </row>
    <row r="16" customFormat="false" ht="15" hidden="false" customHeight="false" outlineLevel="0" collapsed="false">
      <c r="A16" s="0" t="s">
        <v>7</v>
      </c>
      <c r="B16" s="0" t="n">
        <f aca="false">B10+3997*B14</f>
        <v>-1665.66666666667</v>
      </c>
      <c r="C16" s="0" t="n">
        <f aca="false">C10+3997*C14</f>
        <v>0</v>
      </c>
      <c r="D16" s="0" t="n">
        <f aca="false">D10+3997*D14</f>
        <v>-332.333333333333</v>
      </c>
      <c r="E16" s="0" t="n">
        <f aca="false">E10+3997*E14</f>
        <v>1000</v>
      </c>
      <c r="F16" s="0" t="n">
        <f aca="false">F10+3997*F14</f>
        <v>1332.33333333333</v>
      </c>
      <c r="G16" s="0" t="n">
        <f aca="false">G10+3997*G14</f>
        <v>0</v>
      </c>
      <c r="H16" s="0" t="n">
        <f aca="false">H10+3997*H14</f>
        <v>-2006</v>
      </c>
    </row>
    <row r="19" customFormat="false" ht="15" hidden="false" customHeight="false" outlineLevel="0" collapsed="false">
      <c r="A19" s="0" t="s">
        <v>0</v>
      </c>
      <c r="B19" s="0" t="s">
        <v>1</v>
      </c>
      <c r="C19" s="0" t="s">
        <v>2</v>
      </c>
      <c r="D19" s="0" t="s">
        <v>10</v>
      </c>
      <c r="E19" s="0" t="s">
        <v>11</v>
      </c>
      <c r="F19" s="0" t="s">
        <v>12</v>
      </c>
      <c r="G19" s="0" t="s">
        <v>13</v>
      </c>
      <c r="H19" s="0" t="s">
        <v>5</v>
      </c>
    </row>
    <row r="20" customFormat="false" ht="15" hidden="false" customHeight="false" outlineLevel="0" collapsed="false">
      <c r="A20" s="0" t="s">
        <v>2</v>
      </c>
      <c r="B20" s="0" t="n">
        <f aca="false">B14-(1/3)*B21</f>
        <v>0</v>
      </c>
      <c r="C20" s="0" t="n">
        <f aca="false">C14-(1/3)*C21</f>
        <v>1</v>
      </c>
      <c r="D20" s="0" t="n">
        <f aca="false">D14-(1/3)*D21</f>
        <v>-0.4</v>
      </c>
      <c r="E20" s="0" t="n">
        <f aca="false">E14-(1/3)*E21</f>
        <v>0.2</v>
      </c>
      <c r="F20" s="0" t="n">
        <f aca="false">F14-(1/3)*F21</f>
        <v>0.4</v>
      </c>
      <c r="G20" s="0" t="n">
        <f aca="false">G14-(1/3)*G21</f>
        <v>-0.2</v>
      </c>
      <c r="H20" s="0" t="n">
        <f aca="false">H14-(1/3)*H21</f>
        <v>1.6</v>
      </c>
    </row>
    <row r="21" customFormat="false" ht="15" hidden="false" customHeight="false" outlineLevel="0" collapsed="false">
      <c r="A21" s="0" t="s">
        <v>1</v>
      </c>
      <c r="B21" s="0" t="n">
        <f aca="false">B15/(5/3)</f>
        <v>1</v>
      </c>
      <c r="C21" s="0" t="n">
        <f aca="false">C15/(5/3)</f>
        <v>0</v>
      </c>
      <c r="D21" s="0" t="n">
        <f aca="false">D15/(5/3)</f>
        <v>0.2</v>
      </c>
      <c r="E21" s="0" t="n">
        <f aca="false">E15/(5/3)</f>
        <v>-0.6</v>
      </c>
      <c r="F21" s="0" t="n">
        <f aca="false">F15/(5/3)</f>
        <v>-0.2</v>
      </c>
      <c r="G21" s="0" t="n">
        <f aca="false">G15/(5/3)</f>
        <v>0.6</v>
      </c>
      <c r="H21" s="0" t="n">
        <f aca="false">H15/(5/3)</f>
        <v>1.2</v>
      </c>
    </row>
    <row r="22" customFormat="false" ht="15" hidden="false" customHeight="false" outlineLevel="0" collapsed="false">
      <c r="A22" s="0" t="s">
        <v>7</v>
      </c>
      <c r="B22" s="0" t="n">
        <f aca="false">B16+(4997/3)*B21</f>
        <v>0</v>
      </c>
      <c r="C22" s="0" t="n">
        <f aca="false">C16+(4997/3)*C21</f>
        <v>0</v>
      </c>
      <c r="D22" s="0" t="n">
        <f aca="false">D16+(4997/3)*D21</f>
        <v>0.800000000000068</v>
      </c>
      <c r="E22" s="0" t="n">
        <f aca="false">E16+(4997/3)*E21</f>
        <v>0.600000000000023</v>
      </c>
      <c r="F22" s="0" t="n">
        <f aca="false">F16+(4997/3)*F21</f>
        <v>999.2</v>
      </c>
      <c r="G22" s="0" t="n">
        <f aca="false">G16+(4997/3)*G21</f>
        <v>999.4</v>
      </c>
      <c r="H22" s="0" t="n">
        <f aca="false">H16+(4997/3)*H21</f>
        <v>-7.20000000000005</v>
      </c>
    </row>
    <row r="24" customFormat="false" ht="15" hidden="false" customHeight="false" outlineLevel="0" collapsed="false">
      <c r="A24" s="0" t="s">
        <v>8</v>
      </c>
    </row>
    <row r="25" customFormat="false" ht="15" hidden="false" customHeight="false" outlineLevel="0" collapsed="false">
      <c r="A25" s="0" t="s">
        <v>1</v>
      </c>
      <c r="B25" s="0" t="n">
        <f aca="false">H21</f>
        <v>1.2</v>
      </c>
    </row>
    <row r="26" customFormat="false" ht="15" hidden="false" customHeight="false" outlineLevel="0" collapsed="false">
      <c r="A26" s="0" t="s">
        <v>2</v>
      </c>
      <c r="B26" s="0" t="n">
        <f aca="false">H20</f>
        <v>1.6</v>
      </c>
    </row>
    <row r="27" customFormat="false" ht="15" hidden="false" customHeight="false" outlineLevel="0" collapsed="false">
      <c r="A27" s="0" t="s">
        <v>16</v>
      </c>
      <c r="B27" s="0" t="n">
        <f aca="false">-H22</f>
        <v>7.20000000000005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9</v>
      </c>
      <c r="E1" s="0" t="s">
        <v>10</v>
      </c>
      <c r="F1" s="0" t="s">
        <v>4</v>
      </c>
      <c r="G1" s="0" t="s">
        <v>12</v>
      </c>
      <c r="H1" s="0" t="s">
        <v>5</v>
      </c>
      <c r="K1" s="0" t="s">
        <v>14</v>
      </c>
    </row>
    <row r="2" customFormat="false" ht="15" hidden="false" customHeight="false" outlineLevel="0" collapsed="false">
      <c r="A2" s="0" t="s">
        <v>12</v>
      </c>
      <c r="B2" s="0" t="n">
        <v>2</v>
      </c>
      <c r="C2" s="0" t="n">
        <v>3</v>
      </c>
      <c r="D2" s="0" t="n">
        <v>4</v>
      </c>
      <c r="E2" s="0" t="n">
        <v>-1</v>
      </c>
      <c r="F2" s="0" t="n">
        <v>0</v>
      </c>
      <c r="G2" s="0" t="n">
        <v>1</v>
      </c>
      <c r="H2" s="0" t="n">
        <v>10</v>
      </c>
      <c r="K2" s="0" t="s">
        <v>15</v>
      </c>
    </row>
    <row r="3" customFormat="false" ht="15" hidden="false" customHeight="false" outlineLevel="0" collapsed="false">
      <c r="A3" s="0" t="s">
        <v>4</v>
      </c>
      <c r="B3" s="0" t="n">
        <v>5</v>
      </c>
      <c r="C3" s="0" t="n">
        <v>1</v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20</v>
      </c>
    </row>
    <row r="4" customFormat="false" ht="15" hidden="false" customHeight="false" outlineLevel="0" collapsed="false">
      <c r="A4" s="0" t="s">
        <v>7</v>
      </c>
      <c r="B4" s="0" t="n">
        <v>80</v>
      </c>
      <c r="C4" s="0" t="n">
        <v>60</v>
      </c>
      <c r="D4" s="0" t="n">
        <v>70</v>
      </c>
      <c r="E4" s="0" t="n">
        <v>0</v>
      </c>
      <c r="F4" s="0" t="n">
        <v>0</v>
      </c>
      <c r="G4" s="0" t="n">
        <v>1000</v>
      </c>
      <c r="H4" s="0" t="n">
        <v>0</v>
      </c>
    </row>
    <row r="7" customFormat="false" ht="15" hidden="false" customHeight="false" outlineLevel="0" collapsed="false">
      <c r="A7" s="0" t="s">
        <v>0</v>
      </c>
      <c r="B7" s="0" t="s">
        <v>1</v>
      </c>
      <c r="C7" s="0" t="s">
        <v>2</v>
      </c>
      <c r="D7" s="0" t="s">
        <v>9</v>
      </c>
      <c r="E7" s="0" t="s">
        <v>10</v>
      </c>
      <c r="F7" s="0" t="s">
        <v>4</v>
      </c>
      <c r="G7" s="0" t="s">
        <v>12</v>
      </c>
      <c r="H7" s="0" t="s">
        <v>5</v>
      </c>
      <c r="I7" s="0" t="s">
        <v>6</v>
      </c>
    </row>
    <row r="8" customFormat="false" ht="15" hidden="false" customHeight="false" outlineLevel="0" collapsed="false">
      <c r="A8" s="0" t="s">
        <v>12</v>
      </c>
      <c r="B8" s="0" t="n">
        <f aca="false">B2</f>
        <v>2</v>
      </c>
      <c r="C8" s="0" t="n">
        <f aca="false">C2</f>
        <v>3</v>
      </c>
      <c r="D8" s="0" t="n">
        <f aca="false">D2</f>
        <v>4</v>
      </c>
      <c r="E8" s="0" t="n">
        <f aca="false">E2</f>
        <v>-1</v>
      </c>
      <c r="F8" s="0" t="n">
        <f aca="false">F2</f>
        <v>0</v>
      </c>
      <c r="G8" s="0" t="n">
        <f aca="false">G2</f>
        <v>1</v>
      </c>
      <c r="H8" s="0" t="n">
        <f aca="false">H2</f>
        <v>10</v>
      </c>
      <c r="I8" s="0" t="n">
        <f aca="false">H8/D8</f>
        <v>2.5</v>
      </c>
    </row>
    <row r="9" customFormat="false" ht="15" hidden="false" customHeight="false" outlineLevel="0" collapsed="false">
      <c r="A9" s="0" t="s">
        <v>4</v>
      </c>
      <c r="B9" s="0" t="n">
        <f aca="false">B3</f>
        <v>5</v>
      </c>
      <c r="C9" s="0" t="n">
        <f aca="false">C3</f>
        <v>1</v>
      </c>
      <c r="D9" s="0" t="n">
        <f aca="false">D3</f>
        <v>0</v>
      </c>
      <c r="E9" s="0" t="n">
        <f aca="false">E3</f>
        <v>0</v>
      </c>
      <c r="F9" s="0" t="n">
        <f aca="false">F3</f>
        <v>1</v>
      </c>
      <c r="G9" s="0" t="n">
        <f aca="false">G3</f>
        <v>0</v>
      </c>
      <c r="H9" s="0" t="n">
        <f aca="false">H3</f>
        <v>20</v>
      </c>
    </row>
    <row r="10" customFormat="false" ht="15" hidden="false" customHeight="false" outlineLevel="0" collapsed="false">
      <c r="A10" s="0" t="s">
        <v>7</v>
      </c>
      <c r="B10" s="0" t="n">
        <f aca="false">B4-1000*B2</f>
        <v>-1920</v>
      </c>
      <c r="C10" s="0" t="n">
        <f aca="false">C4-1000*C2</f>
        <v>-2940</v>
      </c>
      <c r="D10" s="0" t="n">
        <f aca="false">D4-1000*D2</f>
        <v>-3930</v>
      </c>
      <c r="E10" s="0" t="n">
        <f aca="false">E4-1000*E2</f>
        <v>1000</v>
      </c>
      <c r="F10" s="0" t="n">
        <f aca="false">F4-1000*F2</f>
        <v>0</v>
      </c>
      <c r="G10" s="0" t="n">
        <f aca="false">G4-1000*G2</f>
        <v>0</v>
      </c>
      <c r="H10" s="0" t="n">
        <f aca="false">H4-1000*H2</f>
        <v>-10000</v>
      </c>
    </row>
    <row r="13" customFormat="false" ht="15" hidden="false" customHeight="false" outlineLevel="0" collapsed="false">
      <c r="A13" s="0" t="s">
        <v>0</v>
      </c>
      <c r="B13" s="0" t="s">
        <v>1</v>
      </c>
      <c r="C13" s="0" t="s">
        <v>2</v>
      </c>
      <c r="D13" s="0" t="s">
        <v>9</v>
      </c>
      <c r="E13" s="0" t="s">
        <v>10</v>
      </c>
      <c r="F13" s="0" t="s">
        <v>4</v>
      </c>
      <c r="G13" s="0" t="s">
        <v>12</v>
      </c>
      <c r="H13" s="0" t="s">
        <v>5</v>
      </c>
    </row>
    <row r="14" customFormat="false" ht="15" hidden="false" customHeight="false" outlineLevel="0" collapsed="false">
      <c r="A14" s="0" t="s">
        <v>9</v>
      </c>
      <c r="B14" s="0" t="n">
        <f aca="false">B8/4</f>
        <v>0.5</v>
      </c>
      <c r="C14" s="0" t="n">
        <f aca="false">C8/4</f>
        <v>0.75</v>
      </c>
      <c r="D14" s="0" t="n">
        <f aca="false">D8/4</f>
        <v>1</v>
      </c>
      <c r="E14" s="0" t="n">
        <f aca="false">E8/4</f>
        <v>-0.25</v>
      </c>
      <c r="F14" s="0" t="n">
        <f aca="false">F8/4</f>
        <v>0</v>
      </c>
      <c r="G14" s="0" t="n">
        <f aca="false">G8/4</f>
        <v>0.25</v>
      </c>
      <c r="H14" s="0" t="n">
        <f aca="false">H8/4</f>
        <v>2.5</v>
      </c>
    </row>
    <row r="15" customFormat="false" ht="15" hidden="false" customHeight="false" outlineLevel="0" collapsed="false">
      <c r="A15" s="0" t="s">
        <v>4</v>
      </c>
      <c r="B15" s="0" t="n">
        <f aca="false">B9</f>
        <v>5</v>
      </c>
      <c r="C15" s="0" t="n">
        <f aca="false">C9</f>
        <v>1</v>
      </c>
      <c r="D15" s="0" t="n">
        <f aca="false">D9</f>
        <v>0</v>
      </c>
      <c r="E15" s="0" t="n">
        <f aca="false">E9</f>
        <v>0</v>
      </c>
      <c r="F15" s="0" t="n">
        <f aca="false">F9</f>
        <v>1</v>
      </c>
      <c r="G15" s="0" t="n">
        <f aca="false">G9</f>
        <v>0</v>
      </c>
      <c r="H15" s="0" t="n">
        <f aca="false">H9</f>
        <v>20</v>
      </c>
    </row>
    <row r="16" customFormat="false" ht="15" hidden="false" customHeight="false" outlineLevel="0" collapsed="false">
      <c r="A16" s="0" t="s">
        <v>7</v>
      </c>
      <c r="B16" s="0" t="n">
        <f aca="false">B10+3930*B14</f>
        <v>45</v>
      </c>
      <c r="C16" s="0" t="n">
        <f aca="false">C10+3930*C14</f>
        <v>7.5</v>
      </c>
      <c r="D16" s="0" t="n">
        <f aca="false">D10+3930*D14</f>
        <v>0</v>
      </c>
      <c r="E16" s="0" t="n">
        <f aca="false">E10+3930*E14</f>
        <v>17.5</v>
      </c>
      <c r="F16" s="0" t="n">
        <f aca="false">F10+3930*F14</f>
        <v>0</v>
      </c>
      <c r="G16" s="0" t="n">
        <f aca="false">G10+3930*G14</f>
        <v>982.5</v>
      </c>
      <c r="H16" s="0" t="n">
        <f aca="false">H10+3930*H14</f>
        <v>-175</v>
      </c>
    </row>
    <row r="18" customFormat="false" ht="15" hidden="false" customHeight="false" outlineLevel="0" collapsed="false">
      <c r="A18" s="0" t="s">
        <v>8</v>
      </c>
    </row>
    <row r="19" customFormat="false" ht="15" hidden="false" customHeight="false" outlineLevel="0" collapsed="false">
      <c r="A19" s="0" t="s">
        <v>1</v>
      </c>
      <c r="B19" s="0" t="n">
        <v>0</v>
      </c>
    </row>
    <row r="20" customFormat="false" ht="15" hidden="false" customHeight="false" outlineLevel="0" collapsed="false">
      <c r="A20" s="0" t="s">
        <v>2</v>
      </c>
      <c r="B20" s="0" t="n">
        <v>0</v>
      </c>
    </row>
    <row r="21" customFormat="false" ht="15" hidden="false" customHeight="false" outlineLevel="0" collapsed="false">
      <c r="A21" s="0" t="s">
        <v>9</v>
      </c>
      <c r="B21" s="0" t="n">
        <f aca="false">H14</f>
        <v>2.5</v>
      </c>
    </row>
    <row r="22" customFormat="false" ht="15" hidden="false" customHeight="false" outlineLevel="0" collapsed="false">
      <c r="A22" s="0" t="s">
        <v>16</v>
      </c>
      <c r="B22" s="0" t="n">
        <f aca="false">-H16</f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9</v>
      </c>
      <c r="E1" s="0" t="s">
        <v>3</v>
      </c>
      <c r="F1" s="0" t="s">
        <v>11</v>
      </c>
      <c r="G1" s="0" t="s">
        <v>13</v>
      </c>
      <c r="H1" s="0" t="s">
        <v>17</v>
      </c>
      <c r="I1" s="0" t="s">
        <v>5</v>
      </c>
      <c r="L1" s="0" t="s">
        <v>14</v>
      </c>
    </row>
    <row r="2" customFormat="false" ht="15" hidden="false" customHeight="false" outlineLevel="0" collapsed="false">
      <c r="A2" s="0" t="s">
        <v>3</v>
      </c>
      <c r="B2" s="0" t="n">
        <v>1</v>
      </c>
      <c r="C2" s="0" t="n">
        <v>1</v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150</v>
      </c>
    </row>
    <row r="3" customFormat="false" ht="15" hidden="false" customHeight="false" outlineLevel="0" collapsed="false">
      <c r="A3" s="0" t="s">
        <v>13</v>
      </c>
      <c r="B3" s="0" t="n">
        <v>0</v>
      </c>
      <c r="C3" s="0" t="n">
        <v>1</v>
      </c>
      <c r="D3" s="0" t="n">
        <v>1</v>
      </c>
      <c r="E3" s="0" t="n">
        <v>0</v>
      </c>
      <c r="F3" s="0" t="n">
        <v>-1</v>
      </c>
      <c r="G3" s="0" t="n">
        <v>1</v>
      </c>
      <c r="H3" s="0" t="n">
        <v>0</v>
      </c>
      <c r="I3" s="0" t="n">
        <v>50</v>
      </c>
    </row>
    <row r="4" customFormat="false" ht="15" hidden="false" customHeight="false" outlineLevel="0" collapsed="false">
      <c r="A4" s="0" t="s">
        <v>17</v>
      </c>
      <c r="B4" s="0" t="n">
        <v>2</v>
      </c>
      <c r="C4" s="0" t="n">
        <v>0</v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1</v>
      </c>
      <c r="I4" s="0" t="n">
        <v>100</v>
      </c>
    </row>
    <row r="5" customFormat="false" ht="15" hidden="false" customHeight="false" outlineLevel="0" collapsed="false">
      <c r="A5" s="0" t="s">
        <v>7</v>
      </c>
      <c r="B5" s="0" t="n">
        <v>-10</v>
      </c>
      <c r="C5" s="0" t="n">
        <v>-12</v>
      </c>
      <c r="D5" s="0" t="n">
        <v>-8</v>
      </c>
      <c r="E5" s="0" t="n">
        <v>0</v>
      </c>
      <c r="F5" s="0" t="n">
        <v>0</v>
      </c>
      <c r="G5" s="0" t="n">
        <v>1000</v>
      </c>
      <c r="H5" s="0" t="n">
        <v>1000</v>
      </c>
      <c r="I5" s="0" t="n">
        <v>0</v>
      </c>
    </row>
    <row r="8" customFormat="false" ht="15" hidden="false" customHeight="false" outlineLevel="0" collapsed="false">
      <c r="A8" s="0" t="s">
        <v>0</v>
      </c>
      <c r="B8" s="0" t="s">
        <v>1</v>
      </c>
      <c r="C8" s="0" t="s">
        <v>2</v>
      </c>
      <c r="D8" s="0" t="s">
        <v>9</v>
      </c>
      <c r="E8" s="0" t="s">
        <v>3</v>
      </c>
      <c r="F8" s="0" t="s">
        <v>11</v>
      </c>
      <c r="G8" s="0" t="s">
        <v>13</v>
      </c>
      <c r="H8" s="0" t="s">
        <v>17</v>
      </c>
      <c r="I8" s="0" t="s">
        <v>5</v>
      </c>
      <c r="J8" s="0" t="s">
        <v>6</v>
      </c>
    </row>
    <row r="9" customFormat="false" ht="15" hidden="false" customHeight="false" outlineLevel="0" collapsed="false">
      <c r="A9" s="0" t="s">
        <v>3</v>
      </c>
      <c r="B9" s="0" t="n">
        <f aca="false">B2</f>
        <v>1</v>
      </c>
      <c r="C9" s="0" t="n">
        <f aca="false">C2</f>
        <v>1</v>
      </c>
      <c r="D9" s="0" t="n">
        <f aca="false">D2</f>
        <v>0</v>
      </c>
      <c r="E9" s="0" t="n">
        <f aca="false">E2</f>
        <v>1</v>
      </c>
      <c r="F9" s="0" t="n">
        <f aca="false">F2</f>
        <v>0</v>
      </c>
      <c r="G9" s="0" t="n">
        <f aca="false">G2</f>
        <v>0</v>
      </c>
      <c r="H9" s="0" t="n">
        <f aca="false">H2</f>
        <v>0</v>
      </c>
      <c r="I9" s="0" t="n">
        <f aca="false">I2</f>
        <v>150</v>
      </c>
      <c r="J9" s="0" t="n">
        <f aca="false">I9/B9</f>
        <v>150</v>
      </c>
    </row>
    <row r="10" customFormat="false" ht="15" hidden="false" customHeight="false" outlineLevel="0" collapsed="false">
      <c r="A10" s="0" t="s">
        <v>13</v>
      </c>
      <c r="B10" s="0" t="n">
        <f aca="false">B3</f>
        <v>0</v>
      </c>
      <c r="C10" s="0" t="n">
        <f aca="false">C3</f>
        <v>1</v>
      </c>
      <c r="D10" s="0" t="n">
        <f aca="false">D3</f>
        <v>1</v>
      </c>
      <c r="E10" s="0" t="n">
        <f aca="false">E3</f>
        <v>0</v>
      </c>
      <c r="F10" s="0" t="n">
        <f aca="false">F3</f>
        <v>-1</v>
      </c>
      <c r="G10" s="0" t="n">
        <f aca="false">G3</f>
        <v>1</v>
      </c>
      <c r="H10" s="0" t="n">
        <f aca="false">H3</f>
        <v>0</v>
      </c>
      <c r="I10" s="0" t="n">
        <f aca="false">I3</f>
        <v>50</v>
      </c>
    </row>
    <row r="11" customFormat="false" ht="15" hidden="false" customHeight="false" outlineLevel="0" collapsed="false">
      <c r="A11" s="0" t="s">
        <v>17</v>
      </c>
      <c r="B11" s="0" t="n">
        <f aca="false">B4</f>
        <v>2</v>
      </c>
      <c r="C11" s="0" t="n">
        <f aca="false">C4</f>
        <v>0</v>
      </c>
      <c r="D11" s="0" t="n">
        <f aca="false">D4</f>
        <v>1</v>
      </c>
      <c r="E11" s="0" t="n">
        <f aca="false">E4</f>
        <v>0</v>
      </c>
      <c r="F11" s="0" t="n">
        <f aca="false">F4</f>
        <v>0</v>
      </c>
      <c r="G11" s="0" t="n">
        <f aca="false">G4</f>
        <v>0</v>
      </c>
      <c r="H11" s="0" t="n">
        <f aca="false">H4</f>
        <v>1</v>
      </c>
      <c r="I11" s="0" t="n">
        <f aca="false">I4</f>
        <v>100</v>
      </c>
      <c r="J11" s="0" t="n">
        <f aca="false">I11/B11</f>
        <v>50</v>
      </c>
    </row>
    <row r="12" customFormat="false" ht="15" hidden="false" customHeight="false" outlineLevel="0" collapsed="false">
      <c r="A12" s="0" t="s">
        <v>7</v>
      </c>
      <c r="B12" s="0" t="n">
        <f aca="false">B5-1000*B3-1000*B4</f>
        <v>-2010</v>
      </c>
      <c r="C12" s="0" t="n">
        <f aca="false">C5-1000*C3-1000*C4</f>
        <v>-1012</v>
      </c>
      <c r="D12" s="0" t="n">
        <f aca="false">D5-1000*D3-1000*D4</f>
        <v>-2008</v>
      </c>
      <c r="E12" s="0" t="n">
        <f aca="false">E5-1000*E3-1000*E4</f>
        <v>0</v>
      </c>
      <c r="F12" s="0" t="n">
        <f aca="false">F5-1000*F3-1000*F4</f>
        <v>1000</v>
      </c>
      <c r="G12" s="0" t="n">
        <f aca="false">G5-1000*G3-1000*G4</f>
        <v>0</v>
      </c>
      <c r="H12" s="0" t="n">
        <f aca="false">H5-1000*H3-1000*H4</f>
        <v>0</v>
      </c>
      <c r="I12" s="0" t="n">
        <f aca="false">I5-1000*I3-1000*I4</f>
        <v>-150000</v>
      </c>
    </row>
    <row r="15" customFormat="false" ht="15" hidden="false" customHeight="false" outlineLevel="0" collapsed="false">
      <c r="A15" s="0" t="s">
        <v>0</v>
      </c>
      <c r="B15" s="0" t="s">
        <v>1</v>
      </c>
      <c r="C15" s="0" t="s">
        <v>2</v>
      </c>
      <c r="D15" s="0" t="s">
        <v>9</v>
      </c>
      <c r="E15" s="0" t="s">
        <v>3</v>
      </c>
      <c r="F15" s="0" t="s">
        <v>11</v>
      </c>
      <c r="G15" s="0" t="s">
        <v>13</v>
      </c>
      <c r="H15" s="0" t="s">
        <v>17</v>
      </c>
      <c r="I15" s="0" t="s">
        <v>5</v>
      </c>
      <c r="J15" s="0" t="s">
        <v>6</v>
      </c>
    </row>
    <row r="16" customFormat="false" ht="15" hidden="false" customHeight="false" outlineLevel="0" collapsed="false">
      <c r="A16" s="0" t="s">
        <v>3</v>
      </c>
      <c r="B16" s="0" t="n">
        <f aca="false">B9-B18</f>
        <v>0</v>
      </c>
      <c r="C16" s="0" t="n">
        <f aca="false">C9-C18</f>
        <v>1</v>
      </c>
      <c r="D16" s="0" t="n">
        <f aca="false">D9-D18</f>
        <v>-0.5</v>
      </c>
      <c r="E16" s="0" t="n">
        <f aca="false">E9-E18</f>
        <v>1</v>
      </c>
      <c r="F16" s="0" t="n">
        <f aca="false">F9-F18</f>
        <v>0</v>
      </c>
      <c r="G16" s="0" t="n">
        <f aca="false">G9-G18</f>
        <v>0</v>
      </c>
      <c r="H16" s="0" t="n">
        <f aca="false">H9-H18</f>
        <v>-0.5</v>
      </c>
      <c r="I16" s="0" t="n">
        <f aca="false">I9-I18</f>
        <v>100</v>
      </c>
      <c r="J16" s="0" t="n">
        <f aca="false">I16/C16</f>
        <v>100</v>
      </c>
    </row>
    <row r="17" customFormat="false" ht="15" hidden="false" customHeight="false" outlineLevel="0" collapsed="false">
      <c r="A17" s="0" t="s">
        <v>13</v>
      </c>
      <c r="B17" s="0" t="n">
        <f aca="false">B10</f>
        <v>0</v>
      </c>
      <c r="C17" s="0" t="n">
        <f aca="false">C10</f>
        <v>1</v>
      </c>
      <c r="D17" s="0" t="n">
        <f aca="false">D10</f>
        <v>1</v>
      </c>
      <c r="E17" s="0" t="n">
        <f aca="false">E10</f>
        <v>0</v>
      </c>
      <c r="F17" s="0" t="n">
        <f aca="false">F10</f>
        <v>-1</v>
      </c>
      <c r="G17" s="0" t="n">
        <f aca="false">G10</f>
        <v>1</v>
      </c>
      <c r="H17" s="0" t="n">
        <f aca="false">H10</f>
        <v>0</v>
      </c>
      <c r="I17" s="0" t="n">
        <f aca="false">I10</f>
        <v>50</v>
      </c>
      <c r="J17" s="0" t="n">
        <f aca="false">I17/C17</f>
        <v>50</v>
      </c>
    </row>
    <row r="18" customFormat="false" ht="15" hidden="false" customHeight="false" outlineLevel="0" collapsed="false">
      <c r="A18" s="0" t="s">
        <v>1</v>
      </c>
      <c r="B18" s="0" t="n">
        <f aca="false">B11/2</f>
        <v>1</v>
      </c>
      <c r="C18" s="0" t="n">
        <f aca="false">C11/2</f>
        <v>0</v>
      </c>
      <c r="D18" s="0" t="n">
        <f aca="false">D11/2</f>
        <v>0.5</v>
      </c>
      <c r="E18" s="0" t="n">
        <f aca="false">E11/2</f>
        <v>0</v>
      </c>
      <c r="F18" s="0" t="n">
        <f aca="false">F11/2</f>
        <v>0</v>
      </c>
      <c r="G18" s="0" t="n">
        <f aca="false">G11/2</f>
        <v>0</v>
      </c>
      <c r="H18" s="0" t="n">
        <f aca="false">H11/2</f>
        <v>0.5</v>
      </c>
      <c r="I18" s="0" t="n">
        <f aca="false">I11/2</f>
        <v>50</v>
      </c>
    </row>
    <row r="19" customFormat="false" ht="15" hidden="false" customHeight="false" outlineLevel="0" collapsed="false">
      <c r="A19" s="0" t="s">
        <v>7</v>
      </c>
      <c r="B19" s="0" t="n">
        <f aca="false">B12+2010*B18</f>
        <v>0</v>
      </c>
      <c r="C19" s="0" t="n">
        <f aca="false">C12+2010*C18</f>
        <v>-1012</v>
      </c>
      <c r="D19" s="0" t="n">
        <f aca="false">D12+2010*D18</f>
        <v>-1003</v>
      </c>
      <c r="E19" s="0" t="n">
        <f aca="false">E12+2010*E18</f>
        <v>0</v>
      </c>
      <c r="F19" s="0" t="n">
        <f aca="false">F12+2010*F18</f>
        <v>1000</v>
      </c>
      <c r="G19" s="0" t="n">
        <f aca="false">G12+2010*G18</f>
        <v>0</v>
      </c>
      <c r="H19" s="0" t="n">
        <f aca="false">H12+2010*H18</f>
        <v>1005</v>
      </c>
      <c r="I19" s="0" t="n">
        <f aca="false">I12+2010*I18</f>
        <v>-49500</v>
      </c>
    </row>
    <row r="22" customFormat="false" ht="15" hidden="false" customHeight="false" outlineLevel="0" collapsed="false">
      <c r="A22" s="0" t="s">
        <v>0</v>
      </c>
      <c r="B22" s="0" t="s">
        <v>1</v>
      </c>
      <c r="C22" s="0" t="s">
        <v>2</v>
      </c>
      <c r="D22" s="0" t="s">
        <v>9</v>
      </c>
      <c r="E22" s="0" t="s">
        <v>3</v>
      </c>
      <c r="F22" s="0" t="s">
        <v>11</v>
      </c>
      <c r="G22" s="0" t="s">
        <v>13</v>
      </c>
      <c r="H22" s="0" t="s">
        <v>17</v>
      </c>
      <c r="I22" s="0" t="s">
        <v>5</v>
      </c>
      <c r="J22" s="0" t="s">
        <v>6</v>
      </c>
    </row>
    <row r="23" customFormat="false" ht="15" hidden="false" customHeight="false" outlineLevel="0" collapsed="false">
      <c r="A23" s="0" t="s">
        <v>3</v>
      </c>
      <c r="B23" s="0" t="n">
        <f aca="false">B16-B24</f>
        <v>0</v>
      </c>
      <c r="C23" s="0" t="n">
        <f aca="false">C16-C24</f>
        <v>0</v>
      </c>
      <c r="D23" s="0" t="n">
        <f aca="false">D16-D24</f>
        <v>-1.5</v>
      </c>
      <c r="E23" s="0" t="n">
        <f aca="false">E16-E24</f>
        <v>1</v>
      </c>
      <c r="F23" s="0" t="n">
        <f aca="false">F16-F24</f>
        <v>1</v>
      </c>
      <c r="G23" s="0" t="n">
        <f aca="false">G16-G24</f>
        <v>-1</v>
      </c>
      <c r="H23" s="0" t="n">
        <f aca="false">H16-H24</f>
        <v>-0.5</v>
      </c>
      <c r="I23" s="0" t="n">
        <f aca="false">I16-I24</f>
        <v>50</v>
      </c>
      <c r="J23" s="0" t="n">
        <f aca="false">I23/F23</f>
        <v>50</v>
      </c>
    </row>
    <row r="24" customFormat="false" ht="15" hidden="false" customHeight="false" outlineLevel="0" collapsed="false">
      <c r="A24" s="0" t="s">
        <v>2</v>
      </c>
      <c r="B24" s="0" t="n">
        <f aca="false">B17</f>
        <v>0</v>
      </c>
      <c r="C24" s="0" t="n">
        <f aca="false">C17</f>
        <v>1</v>
      </c>
      <c r="D24" s="0" t="n">
        <f aca="false">D17</f>
        <v>1</v>
      </c>
      <c r="E24" s="0" t="n">
        <f aca="false">E17</f>
        <v>0</v>
      </c>
      <c r="F24" s="0" t="n">
        <f aca="false">F17</f>
        <v>-1</v>
      </c>
      <c r="G24" s="0" t="n">
        <f aca="false">G17</f>
        <v>1</v>
      </c>
      <c r="H24" s="0" t="n">
        <f aca="false">H17</f>
        <v>0</v>
      </c>
      <c r="I24" s="0" t="n">
        <f aca="false">I17</f>
        <v>50</v>
      </c>
    </row>
    <row r="25" customFormat="false" ht="15" hidden="false" customHeight="false" outlineLevel="0" collapsed="false">
      <c r="A25" s="0" t="s">
        <v>1</v>
      </c>
      <c r="B25" s="0" t="n">
        <f aca="false">B18</f>
        <v>1</v>
      </c>
      <c r="C25" s="0" t="n">
        <f aca="false">C18</f>
        <v>0</v>
      </c>
      <c r="D25" s="0" t="n">
        <f aca="false">D18</f>
        <v>0.5</v>
      </c>
      <c r="E25" s="0" t="n">
        <f aca="false">E18</f>
        <v>0</v>
      </c>
      <c r="F25" s="0" t="n">
        <f aca="false">F18</f>
        <v>0</v>
      </c>
      <c r="G25" s="0" t="n">
        <f aca="false">G18</f>
        <v>0</v>
      </c>
      <c r="H25" s="0" t="n">
        <f aca="false">H18</f>
        <v>0.5</v>
      </c>
      <c r="I25" s="0" t="n">
        <f aca="false">I18</f>
        <v>50</v>
      </c>
    </row>
    <row r="26" customFormat="false" ht="15" hidden="false" customHeight="false" outlineLevel="0" collapsed="false">
      <c r="A26" s="0" t="s">
        <v>7</v>
      </c>
      <c r="B26" s="0" t="n">
        <f aca="false">B19+1012*B24</f>
        <v>0</v>
      </c>
      <c r="C26" s="0" t="n">
        <f aca="false">C19+1012*C24</f>
        <v>0</v>
      </c>
      <c r="D26" s="0" t="n">
        <f aca="false">D19+1012*D24</f>
        <v>9</v>
      </c>
      <c r="E26" s="0" t="n">
        <f aca="false">E19+1012*E24</f>
        <v>0</v>
      </c>
      <c r="F26" s="0" t="n">
        <f aca="false">F19+1012*F24</f>
        <v>-12</v>
      </c>
      <c r="G26" s="0" t="n">
        <f aca="false">G19+1012*G24</f>
        <v>1012</v>
      </c>
      <c r="H26" s="0" t="n">
        <f aca="false">H19+1012*H24</f>
        <v>1005</v>
      </c>
      <c r="I26" s="0" t="n">
        <f aca="false">I19+1012*I24</f>
        <v>1100</v>
      </c>
    </row>
    <row r="29" customFormat="false" ht="15" hidden="false" customHeight="false" outlineLevel="0" collapsed="false">
      <c r="A29" s="0" t="s">
        <v>0</v>
      </c>
      <c r="B29" s="0" t="s">
        <v>1</v>
      </c>
      <c r="C29" s="0" t="s">
        <v>2</v>
      </c>
      <c r="D29" s="0" t="s">
        <v>9</v>
      </c>
      <c r="E29" s="0" t="s">
        <v>3</v>
      </c>
      <c r="F29" s="0" t="s">
        <v>11</v>
      </c>
      <c r="G29" s="0" t="s">
        <v>13</v>
      </c>
      <c r="H29" s="0" t="s">
        <v>17</v>
      </c>
      <c r="I29" s="0" t="s">
        <v>5</v>
      </c>
      <c r="J29" s="0" t="s">
        <v>6</v>
      </c>
    </row>
    <row r="30" customFormat="false" ht="15" hidden="false" customHeight="false" outlineLevel="0" collapsed="false">
      <c r="A30" s="0" t="s">
        <v>11</v>
      </c>
      <c r="B30" s="0" t="n">
        <f aca="false">B23</f>
        <v>0</v>
      </c>
      <c r="C30" s="0" t="n">
        <f aca="false">C23</f>
        <v>0</v>
      </c>
      <c r="D30" s="0" t="n">
        <f aca="false">D23</f>
        <v>-1.5</v>
      </c>
      <c r="E30" s="0" t="n">
        <f aca="false">E23</f>
        <v>1</v>
      </c>
      <c r="F30" s="0" t="n">
        <f aca="false">F23</f>
        <v>1</v>
      </c>
      <c r="G30" s="0" t="n">
        <f aca="false">G23</f>
        <v>-1</v>
      </c>
      <c r="H30" s="0" t="n">
        <f aca="false">H23</f>
        <v>-0.5</v>
      </c>
      <c r="I30" s="0" t="n">
        <f aca="false">I23</f>
        <v>50</v>
      </c>
    </row>
    <row r="31" customFormat="false" ht="15" hidden="false" customHeight="false" outlineLevel="0" collapsed="false">
      <c r="A31" s="0" t="s">
        <v>2</v>
      </c>
      <c r="B31" s="0" t="n">
        <f aca="false">B24+B30</f>
        <v>0</v>
      </c>
      <c r="C31" s="0" t="n">
        <f aca="false">C24+C30</f>
        <v>1</v>
      </c>
      <c r="D31" s="0" t="n">
        <f aca="false">D24+D30</f>
        <v>-0.5</v>
      </c>
      <c r="E31" s="0" t="n">
        <f aca="false">E24+E30</f>
        <v>1</v>
      </c>
      <c r="F31" s="0" t="n">
        <f aca="false">F24+F30</f>
        <v>0</v>
      </c>
      <c r="G31" s="0" t="n">
        <f aca="false">G24+G30</f>
        <v>0</v>
      </c>
      <c r="H31" s="0" t="n">
        <f aca="false">H24+H30</f>
        <v>-0.5</v>
      </c>
      <c r="I31" s="0" t="n">
        <f aca="false">I24+I30</f>
        <v>100</v>
      </c>
    </row>
    <row r="32" customFormat="false" ht="15" hidden="false" customHeight="false" outlineLevel="0" collapsed="false">
      <c r="A32" s="0" t="s">
        <v>1</v>
      </c>
      <c r="B32" s="0" t="n">
        <f aca="false">B25</f>
        <v>1</v>
      </c>
      <c r="C32" s="0" t="n">
        <f aca="false">C25</f>
        <v>0</v>
      </c>
      <c r="D32" s="0" t="n">
        <f aca="false">D25</f>
        <v>0.5</v>
      </c>
      <c r="E32" s="0" t="n">
        <f aca="false">E25</f>
        <v>0</v>
      </c>
      <c r="F32" s="0" t="n">
        <f aca="false">F25</f>
        <v>0</v>
      </c>
      <c r="G32" s="0" t="n">
        <f aca="false">G25</f>
        <v>0</v>
      </c>
      <c r="H32" s="0" t="n">
        <f aca="false">H25</f>
        <v>0.5</v>
      </c>
      <c r="I32" s="0" t="n">
        <f aca="false">I25</f>
        <v>50</v>
      </c>
      <c r="J32" s="0" t="n">
        <f aca="false">I32/D32</f>
        <v>100</v>
      </c>
    </row>
    <row r="33" customFormat="false" ht="15" hidden="false" customHeight="false" outlineLevel="0" collapsed="false">
      <c r="A33" s="0" t="s">
        <v>7</v>
      </c>
      <c r="B33" s="0" t="n">
        <f aca="false">B26+12*B30</f>
        <v>0</v>
      </c>
      <c r="C33" s="0" t="n">
        <f aca="false">C26+12*C30</f>
        <v>0</v>
      </c>
      <c r="D33" s="0" t="n">
        <f aca="false">D26+12*D30</f>
        <v>-9</v>
      </c>
      <c r="E33" s="0" t="n">
        <f aca="false">E26+12*E30</f>
        <v>12</v>
      </c>
      <c r="F33" s="0" t="n">
        <f aca="false">F26+12*F30</f>
        <v>0</v>
      </c>
      <c r="G33" s="0" t="n">
        <f aca="false">G26+12*G30</f>
        <v>1000</v>
      </c>
      <c r="H33" s="0" t="n">
        <f aca="false">H26+12*H30</f>
        <v>999</v>
      </c>
      <c r="I33" s="0" t="n">
        <f aca="false">I26+12*I30</f>
        <v>1700</v>
      </c>
    </row>
    <row r="36" customFormat="false" ht="15" hidden="false" customHeight="false" outlineLevel="0" collapsed="false">
      <c r="A36" s="0" t="s">
        <v>0</v>
      </c>
      <c r="B36" s="0" t="s">
        <v>1</v>
      </c>
      <c r="C36" s="0" t="s">
        <v>2</v>
      </c>
      <c r="D36" s="0" t="s">
        <v>9</v>
      </c>
      <c r="E36" s="0" t="s">
        <v>3</v>
      </c>
      <c r="F36" s="0" t="s">
        <v>11</v>
      </c>
      <c r="G36" s="0" t="s">
        <v>13</v>
      </c>
      <c r="H36" s="0" t="s">
        <v>17</v>
      </c>
      <c r="I36" s="0" t="s">
        <v>5</v>
      </c>
    </row>
    <row r="37" customFormat="false" ht="15" hidden="false" customHeight="false" outlineLevel="0" collapsed="false">
      <c r="A37" s="0" t="s">
        <v>11</v>
      </c>
      <c r="B37" s="0" t="n">
        <f aca="false">B30+1.5*B39</f>
        <v>3</v>
      </c>
      <c r="C37" s="0" t="n">
        <f aca="false">C30+1.5*C39</f>
        <v>0</v>
      </c>
      <c r="D37" s="0" t="n">
        <f aca="false">D30+1.5*D39</f>
        <v>0</v>
      </c>
      <c r="E37" s="0" t="n">
        <f aca="false">E30+1.5*E39</f>
        <v>1</v>
      </c>
      <c r="F37" s="0" t="n">
        <f aca="false">F30+1.5*F39</f>
        <v>1</v>
      </c>
      <c r="G37" s="0" t="n">
        <f aca="false">G30+1.5*G39</f>
        <v>-1</v>
      </c>
      <c r="H37" s="0" t="n">
        <f aca="false">H30+1.5*H39</f>
        <v>1</v>
      </c>
      <c r="I37" s="0" t="n">
        <f aca="false">I30+1.5*I39</f>
        <v>200</v>
      </c>
    </row>
    <row r="38" customFormat="false" ht="15" hidden="false" customHeight="false" outlineLevel="0" collapsed="false">
      <c r="A38" s="0" t="s">
        <v>2</v>
      </c>
      <c r="B38" s="0" t="n">
        <f aca="false">B31+0.5*B39</f>
        <v>1</v>
      </c>
      <c r="C38" s="0" t="n">
        <f aca="false">C31+0.5*C39</f>
        <v>1</v>
      </c>
      <c r="D38" s="0" t="n">
        <f aca="false">D31+0.5*D39</f>
        <v>0</v>
      </c>
      <c r="E38" s="0" t="n">
        <f aca="false">E31+0.5*E39</f>
        <v>1</v>
      </c>
      <c r="F38" s="0" t="n">
        <f aca="false">F31+0.5*F39</f>
        <v>0</v>
      </c>
      <c r="G38" s="0" t="n">
        <f aca="false">G31+0.5*G39</f>
        <v>0</v>
      </c>
      <c r="H38" s="0" t="n">
        <f aca="false">H31+0.5*H39</f>
        <v>0</v>
      </c>
      <c r="I38" s="0" t="n">
        <f aca="false">I31+0.5*I39</f>
        <v>150</v>
      </c>
    </row>
    <row r="39" customFormat="false" ht="15" hidden="false" customHeight="false" outlineLevel="0" collapsed="false">
      <c r="A39" s="0" t="s">
        <v>9</v>
      </c>
      <c r="B39" s="0" t="n">
        <f aca="false">B32/0.5</f>
        <v>2</v>
      </c>
      <c r="C39" s="0" t="n">
        <f aca="false">C32/0.5</f>
        <v>0</v>
      </c>
      <c r="D39" s="0" t="n">
        <f aca="false">D32/0.5</f>
        <v>1</v>
      </c>
      <c r="E39" s="0" t="n">
        <f aca="false">E32/0.5</f>
        <v>0</v>
      </c>
      <c r="F39" s="0" t="n">
        <f aca="false">F32/0.5</f>
        <v>0</v>
      </c>
      <c r="G39" s="0" t="n">
        <f aca="false">G32/0.5</f>
        <v>0</v>
      </c>
      <c r="H39" s="0" t="n">
        <f aca="false">H32/0.5</f>
        <v>1</v>
      </c>
      <c r="I39" s="0" t="n">
        <f aca="false">I32/0.5</f>
        <v>100</v>
      </c>
    </row>
    <row r="40" customFormat="false" ht="15" hidden="false" customHeight="false" outlineLevel="0" collapsed="false">
      <c r="A40" s="0" t="s">
        <v>7</v>
      </c>
      <c r="B40" s="0" t="n">
        <f aca="false">B33+9*B39</f>
        <v>18</v>
      </c>
      <c r="C40" s="0" t="n">
        <f aca="false">C33+9*C39</f>
        <v>0</v>
      </c>
      <c r="D40" s="0" t="n">
        <f aca="false">D33+9*D39</f>
        <v>0</v>
      </c>
      <c r="E40" s="0" t="n">
        <f aca="false">E33+9*E39</f>
        <v>12</v>
      </c>
      <c r="F40" s="0" t="n">
        <f aca="false">F33+9*F39</f>
        <v>0</v>
      </c>
      <c r="G40" s="0" t="n">
        <f aca="false">G33+9*G39</f>
        <v>1000</v>
      </c>
      <c r="H40" s="0" t="n">
        <f aca="false">H33+9*H39</f>
        <v>1008</v>
      </c>
      <c r="I40" s="0" t="n">
        <f aca="false">I33+9*I39</f>
        <v>2600</v>
      </c>
    </row>
    <row r="42" customFormat="false" ht="15" hidden="false" customHeight="false" outlineLevel="0" collapsed="false">
      <c r="A42" s="0" t="s">
        <v>8</v>
      </c>
    </row>
    <row r="43" customFormat="false" ht="15" hidden="false" customHeight="false" outlineLevel="0" collapsed="false">
      <c r="A43" s="0" t="s">
        <v>1</v>
      </c>
      <c r="B43" s="0" t="n">
        <v>0</v>
      </c>
    </row>
    <row r="44" customFormat="false" ht="15" hidden="false" customHeight="false" outlineLevel="0" collapsed="false">
      <c r="A44" s="0" t="s">
        <v>2</v>
      </c>
      <c r="B44" s="0" t="n">
        <f aca="false">I38</f>
        <v>150</v>
      </c>
    </row>
    <row r="45" customFormat="false" ht="15" hidden="false" customHeight="false" outlineLevel="0" collapsed="false">
      <c r="A45" s="0" t="s">
        <v>9</v>
      </c>
      <c r="B45" s="0" t="n">
        <f aca="false">I39</f>
        <v>100</v>
      </c>
    </row>
    <row r="46" customFormat="false" ht="15" hidden="false" customHeight="false" outlineLevel="0" collapsed="false">
      <c r="A46" s="0" t="s">
        <v>7</v>
      </c>
      <c r="B46" s="0" t="n">
        <f aca="false">I40</f>
        <v>2600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18</v>
      </c>
      <c r="G1" s="0" t="s">
        <v>5</v>
      </c>
      <c r="H1" s="0" t="s">
        <v>6</v>
      </c>
      <c r="J1" s="0" t="s">
        <v>19</v>
      </c>
    </row>
    <row r="2" customFormat="false" ht="15" hidden="false" customHeight="false" outlineLevel="0" collapsed="false">
      <c r="A2" s="0" t="s">
        <v>3</v>
      </c>
      <c r="B2" s="0" t="n">
        <v>-1</v>
      </c>
      <c r="C2" s="0" t="n">
        <v>1</v>
      </c>
      <c r="D2" s="0" t="n">
        <v>1</v>
      </c>
      <c r="E2" s="0" t="n">
        <v>0</v>
      </c>
      <c r="F2" s="0" t="n">
        <v>0</v>
      </c>
      <c r="G2" s="0" t="n">
        <v>1</v>
      </c>
    </row>
    <row r="3" customFormat="false" ht="15" hidden="false" customHeight="false" outlineLevel="0" collapsed="false">
      <c r="A3" s="0" t="s">
        <v>4</v>
      </c>
      <c r="B3" s="0" t="n">
        <v>1</v>
      </c>
      <c r="C3" s="0" t="n">
        <v>1</v>
      </c>
      <c r="D3" s="0" t="n">
        <v>0</v>
      </c>
      <c r="E3" s="0" t="n">
        <v>1</v>
      </c>
      <c r="F3" s="0" t="n">
        <v>0</v>
      </c>
      <c r="G3" s="0" t="n">
        <v>2</v>
      </c>
      <c r="H3" s="0" t="n">
        <f aca="false">G3/B3</f>
        <v>2</v>
      </c>
    </row>
    <row r="4" customFormat="false" ht="15" hidden="false" customHeight="false" outlineLevel="0" collapsed="false">
      <c r="A4" s="0" t="s">
        <v>18</v>
      </c>
      <c r="B4" s="0" t="n">
        <v>2</v>
      </c>
      <c r="C4" s="0" t="n">
        <v>-1</v>
      </c>
      <c r="D4" s="0" t="n">
        <v>0</v>
      </c>
      <c r="E4" s="0" t="n">
        <v>0</v>
      </c>
      <c r="F4" s="0" t="n">
        <v>1</v>
      </c>
      <c r="G4" s="0" t="n">
        <v>2</v>
      </c>
      <c r="H4" s="0" t="n">
        <f aca="false">G4/B4</f>
        <v>1</v>
      </c>
    </row>
    <row r="5" customFormat="false" ht="15" hidden="false" customHeight="false" outlineLevel="0" collapsed="false">
      <c r="A5" s="0" t="s">
        <v>7</v>
      </c>
      <c r="B5" s="0" t="n">
        <v>-2</v>
      </c>
      <c r="C5" s="0" t="n">
        <v>3</v>
      </c>
      <c r="D5" s="0" t="n">
        <v>0</v>
      </c>
      <c r="E5" s="0" t="n">
        <v>0</v>
      </c>
      <c r="F5" s="0" t="n">
        <v>0</v>
      </c>
      <c r="G5" s="0" t="n">
        <v>0</v>
      </c>
    </row>
    <row r="8" customFormat="false" ht="15" hidden="false" customHeight="false" outlineLevel="0" collapsed="false">
      <c r="A8" s="0" t="s">
        <v>0</v>
      </c>
      <c r="B8" s="0" t="s">
        <v>1</v>
      </c>
      <c r="C8" s="0" t="s">
        <v>2</v>
      </c>
      <c r="D8" s="0" t="s">
        <v>3</v>
      </c>
      <c r="E8" s="0" t="s">
        <v>4</v>
      </c>
      <c r="F8" s="0" t="s">
        <v>18</v>
      </c>
      <c r="G8" s="0" t="s">
        <v>5</v>
      </c>
    </row>
    <row r="9" customFormat="false" ht="15" hidden="false" customHeight="false" outlineLevel="0" collapsed="false">
      <c r="A9" s="0" t="s">
        <v>3</v>
      </c>
      <c r="B9" s="0" t="n">
        <f aca="false">B2+B11</f>
        <v>0</v>
      </c>
      <c r="C9" s="0" t="n">
        <f aca="false">C2+C11</f>
        <v>0.5</v>
      </c>
      <c r="D9" s="0" t="n">
        <f aca="false">D2+D11</f>
        <v>1</v>
      </c>
      <c r="E9" s="0" t="n">
        <f aca="false">E2+E11</f>
        <v>0</v>
      </c>
      <c r="F9" s="0" t="n">
        <f aca="false">F2+F11</f>
        <v>0.5</v>
      </c>
      <c r="G9" s="0" t="n">
        <f aca="false">G2+G11</f>
        <v>2</v>
      </c>
    </row>
    <row r="10" customFormat="false" ht="15" hidden="false" customHeight="false" outlineLevel="0" collapsed="false">
      <c r="A10" s="0" t="s">
        <v>4</v>
      </c>
      <c r="B10" s="0" t="n">
        <f aca="false">B3-B11</f>
        <v>0</v>
      </c>
      <c r="C10" s="0" t="n">
        <f aca="false">C3-C11</f>
        <v>1.5</v>
      </c>
      <c r="D10" s="0" t="n">
        <f aca="false">D3-D11</f>
        <v>0</v>
      </c>
      <c r="E10" s="0" t="n">
        <f aca="false">E3-E11</f>
        <v>1</v>
      </c>
      <c r="F10" s="0" t="n">
        <f aca="false">F3-F11</f>
        <v>-0.5</v>
      </c>
      <c r="G10" s="0" t="n">
        <f aca="false">G3-G11</f>
        <v>1</v>
      </c>
    </row>
    <row r="11" customFormat="false" ht="15" hidden="false" customHeight="false" outlineLevel="0" collapsed="false">
      <c r="A11" s="0" t="s">
        <v>1</v>
      </c>
      <c r="B11" s="0" t="n">
        <f aca="false">B4/2</f>
        <v>1</v>
      </c>
      <c r="C11" s="0" t="n">
        <f aca="false">C4/2</f>
        <v>-0.5</v>
      </c>
      <c r="D11" s="0" t="n">
        <f aca="false">D4/2</f>
        <v>0</v>
      </c>
      <c r="E11" s="0" t="n">
        <f aca="false">E4/2</f>
        <v>0</v>
      </c>
      <c r="F11" s="0" t="n">
        <f aca="false">F4/2</f>
        <v>0.5</v>
      </c>
      <c r="G11" s="0" t="n">
        <f aca="false">G4/2</f>
        <v>1</v>
      </c>
    </row>
    <row r="12" customFormat="false" ht="15" hidden="false" customHeight="false" outlineLevel="0" collapsed="false">
      <c r="A12" s="0" t="s">
        <v>7</v>
      </c>
      <c r="B12" s="0" t="n">
        <f aca="false">B5+2*B11</f>
        <v>0</v>
      </c>
      <c r="C12" s="0" t="n">
        <f aca="false">C5+2*C11</f>
        <v>2</v>
      </c>
      <c r="D12" s="0" t="n">
        <f aca="false">D5+2*D11</f>
        <v>0</v>
      </c>
      <c r="E12" s="0" t="n">
        <f aca="false">E5+2*E11</f>
        <v>0</v>
      </c>
      <c r="F12" s="0" t="n">
        <f aca="false">F5+2*F11</f>
        <v>1</v>
      </c>
      <c r="G12" s="0" t="n">
        <f aca="false">G5+2*G11</f>
        <v>2</v>
      </c>
    </row>
    <row r="14" customFormat="false" ht="15" hidden="false" customHeight="false" outlineLevel="0" collapsed="false">
      <c r="A14" s="0" t="s">
        <v>8</v>
      </c>
    </row>
    <row r="15" customFormat="false" ht="15" hidden="false" customHeight="false" outlineLevel="0" collapsed="false">
      <c r="A15" s="0" t="s">
        <v>1</v>
      </c>
      <c r="B15" s="0" t="n">
        <f aca="false">G11</f>
        <v>1</v>
      </c>
    </row>
    <row r="16" customFormat="false" ht="15" hidden="false" customHeight="false" outlineLevel="0" collapsed="false">
      <c r="A16" s="0" t="s">
        <v>2</v>
      </c>
      <c r="B16" s="0" t="n">
        <v>0</v>
      </c>
    </row>
    <row r="17" customFormat="false" ht="15" hidden="false" customHeight="false" outlineLevel="0" collapsed="false">
      <c r="A17" s="0" t="s">
        <v>7</v>
      </c>
      <c r="B17" s="0" t="n">
        <f aca="false">G12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2026-10-23T22:52:49Z</dcterms:created>
  <dc:creator>openpyxl</dc:creator>
  <dc:description/>
  <dc:language>en-US</dc:language>
  <cp:lastModifiedBy/>
  <dcterms:modified xsi:type="dcterms:W3CDTF">2026-10-23T22:52:49Z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