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<sst xmlns="http://schemas.openxmlformats.org/spreadsheetml/2006/main" count="52" uniqueCount="14">
  <si>
    <t xml:space="preserve">BASE</t>
  </si>
  <si>
    <t xml:space="preserve">X1</t>
  </si>
  <si>
    <t xml:space="preserve">X2</t>
  </si>
  <si>
    <t xml:space="preserve">E1</t>
  </si>
  <si>
    <t xml:space="preserve">E2</t>
  </si>
  <si>
    <t xml:space="preserve">A1</t>
  </si>
  <si>
    <t xml:space="preserve">A2</t>
  </si>
  <si>
    <t xml:space="preserve">B</t>
  </si>
  <si>
    <t xml:space="preserve">M = 1000</t>
  </si>
  <si>
    <t xml:space="preserve">Minimizar C = Maximizar -C</t>
  </si>
  <si>
    <t xml:space="preserve">Z</t>
  </si>
  <si>
    <t xml:space="preserve">RAZAO</t>
  </si>
  <si>
    <t xml:space="preserve">RESPOSTA</t>
  </si>
  <si>
    <t xml:space="preserve">MIN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</si>
</sst>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8</v>
      </c>
    </row>
    <row r="2" customFormat="false" ht="15" hidden="false" customHeight="true" outlineLevel="0" collapsed="false">
      <c r="A2" s="1" t="s">
        <v>5</v>
      </c>
      <c r="B2" s="1" t="n">
        <v>1</v>
      </c>
      <c r="C2" s="1" t="n">
        <v>3</v>
      </c>
      <c r="D2" s="1" t="n">
        <v>-1</v>
      </c>
      <c r="E2" s="1" t="n">
        <v>0</v>
      </c>
      <c r="F2" s="1" t="n">
        <v>1</v>
      </c>
      <c r="G2" s="1" t="n">
        <v>0</v>
      </c>
      <c r="H2" s="1" t="n">
        <v>6</v>
      </c>
      <c r="K2" s="1" t="s">
        <v>9</v>
      </c>
    </row>
    <row r="3" customFormat="false" ht="15" hidden="false" customHeight="true" outlineLevel="0" collapsed="false">
      <c r="A3" s="1" t="s">
        <v>6</v>
      </c>
      <c r="B3" s="1" t="n">
        <v>2</v>
      </c>
      <c r="C3" s="1" t="n">
        <v>1</v>
      </c>
      <c r="D3" s="1" t="n">
        <v>0</v>
      </c>
      <c r="E3" s="1" t="n">
        <v>-1</v>
      </c>
      <c r="F3" s="1" t="n">
        <v>0</v>
      </c>
      <c r="G3" s="1" t="n">
        <v>1</v>
      </c>
      <c r="H3" s="1" t="n">
        <v>4</v>
      </c>
    </row>
    <row r="4" customFormat="false" ht="15" hidden="false" customHeight="true" outlineLevel="0" collapsed="false">
      <c r="A4" s="1" t="s">
        <v>10</v>
      </c>
      <c r="B4" s="1" t="n">
        <v>2</v>
      </c>
      <c r="C4" s="1" t="n">
        <v>3</v>
      </c>
      <c r="D4" s="1" t="n">
        <v>0</v>
      </c>
      <c r="E4" s="1" t="n">
        <v>0</v>
      </c>
      <c r="F4" s="1" t="n">
        <v>1000</v>
      </c>
      <c r="G4" s="1" t="n">
        <v>1000</v>
      </c>
      <c r="H4" s="1" t="n">
        <v>0</v>
      </c>
    </row>
    <row r="7" customFormat="false" ht="15" hidden="false" customHeight="true" outlineLevel="0" collapsed="false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11</v>
      </c>
    </row>
    <row r="8" customFormat="false" ht="15" hidden="false" customHeight="true" outlineLevel="0" collapsed="false">
      <c r="A8" s="1" t="s">
        <v>5</v>
      </c>
      <c r="B8" s="1" t="n">
        <f aca="false">B2</f>
        <v>1</v>
      </c>
      <c r="C8" s="1" t="n">
        <f aca="false">C2</f>
        <v>3</v>
      </c>
      <c r="D8" s="1" t="n">
        <f aca="false">D2</f>
        <v>-1</v>
      </c>
      <c r="E8" s="1" t="n">
        <f aca="false">E2</f>
        <v>0</v>
      </c>
      <c r="F8" s="1" t="n">
        <f aca="false">F2</f>
        <v>1</v>
      </c>
      <c r="G8" s="1" t="n">
        <f aca="false">G2</f>
        <v>0</v>
      </c>
      <c r="H8" s="1" t="n">
        <f aca="false">H2</f>
        <v>6</v>
      </c>
      <c r="I8" s="1" t="n">
        <f aca="false">H8/C8</f>
        <v>2</v>
      </c>
    </row>
    <row r="9" customFormat="false" ht="15" hidden="false" customHeight="true" outlineLevel="0" collapsed="false">
      <c r="A9" s="1" t="s">
        <v>6</v>
      </c>
      <c r="B9" s="1" t="n">
        <f aca="false">B3</f>
        <v>2</v>
      </c>
      <c r="C9" s="1" t="n">
        <f aca="false">C3</f>
        <v>1</v>
      </c>
      <c r="D9" s="1" t="n">
        <f aca="false">D3</f>
        <v>0</v>
      </c>
      <c r="E9" s="1" t="n">
        <f aca="false">E3</f>
        <v>-1</v>
      </c>
      <c r="F9" s="1" t="n">
        <f aca="false">F3</f>
        <v>0</v>
      </c>
      <c r="G9" s="1" t="n">
        <f aca="false">G3</f>
        <v>1</v>
      </c>
      <c r="H9" s="1" t="n">
        <f aca="false">H3</f>
        <v>4</v>
      </c>
      <c r="I9" s="1" t="n">
        <f aca="false">H9/C9</f>
        <v>4</v>
      </c>
    </row>
    <row r="10" customFormat="false" ht="15" hidden="false" customHeight="true" outlineLevel="0" collapsed="false">
      <c r="A10" s="1" t="s">
        <v>10</v>
      </c>
      <c r="B10" s="1" t="n">
        <f aca="false">B4-1000*B2-1000*B3</f>
        <v>-2998</v>
      </c>
      <c r="C10" s="1" t="n">
        <f aca="false">C4-1000*C2-1000*C3</f>
        <v>-3997</v>
      </c>
      <c r="D10" s="1" t="n">
        <f aca="false">D4-1000*D2-1000*D3</f>
        <v>1000</v>
      </c>
      <c r="E10" s="1" t="n">
        <f aca="false">E4-1000*E2-1000*E3</f>
        <v>1000</v>
      </c>
      <c r="F10" s="1" t="n">
        <f aca="false">F4-1000*F2-1000*F3</f>
        <v>0</v>
      </c>
      <c r="G10" s="1" t="n">
        <f aca="false">G4-1000*G2-1000*G3</f>
        <v>0</v>
      </c>
      <c r="H10" s="1" t="n">
        <f aca="false">H4-1000*H2-1000*H3</f>
        <v>-10000</v>
      </c>
    </row>
    <row r="13" customFormat="false" ht="15" hidden="false" customHeight="true" outlineLevel="0" collapsed="false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11</v>
      </c>
    </row>
    <row r="14" customFormat="false" ht="15" hidden="false" customHeight="true" outlineLevel="0" collapsed="false">
      <c r="A14" s="1" t="s">
        <v>2</v>
      </c>
      <c r="B14" s="1" t="n">
        <f aca="false">B8/3</f>
        <v>0.333333333333333</v>
      </c>
      <c r="C14" s="1" t="n">
        <f aca="false">C8/3</f>
        <v>1</v>
      </c>
      <c r="D14" s="1" t="n">
        <f aca="false">D8/3</f>
        <v>-0.333333333333333</v>
      </c>
      <c r="E14" s="1" t="n">
        <f aca="false">E8/3</f>
        <v>0</v>
      </c>
      <c r="F14" s="1" t="n">
        <f aca="false">F8/3</f>
        <v>0.333333333333333</v>
      </c>
      <c r="G14" s="1" t="n">
        <f aca="false">G8/3</f>
        <v>0</v>
      </c>
      <c r="H14" s="1" t="n">
        <f aca="false">H8/3</f>
        <v>2</v>
      </c>
      <c r="I14" s="1" t="n">
        <f aca="false">H14/B14</f>
        <v>6</v>
      </c>
    </row>
    <row r="15" customFormat="false" ht="15" hidden="false" customHeight="true" outlineLevel="0" collapsed="false">
      <c r="A15" s="1" t="s">
        <v>6</v>
      </c>
      <c r="B15" s="1" t="n">
        <f aca="false">B9-B14</f>
        <v>1.66666666666667</v>
      </c>
      <c r="C15" s="1" t="n">
        <f aca="false">C9-C14</f>
        <v>0</v>
      </c>
      <c r="D15" s="1" t="n">
        <f aca="false">D9-D14</f>
        <v>0.333333333333333</v>
      </c>
      <c r="E15" s="1" t="n">
        <f aca="false">E9-E14</f>
        <v>-1</v>
      </c>
      <c r="F15" s="1" t="n">
        <f aca="false">F9-F14</f>
        <v>-0.333333333333333</v>
      </c>
      <c r="G15" s="1" t="n">
        <f aca="false">G9-G14</f>
        <v>1</v>
      </c>
      <c r="H15" s="1" t="n">
        <f aca="false">H9-H14</f>
        <v>2</v>
      </c>
      <c r="I15" s="1" t="n">
        <f aca="false">H15/B15</f>
        <v>1.2</v>
      </c>
    </row>
    <row r="16" customFormat="false" ht="15" hidden="false" customHeight="true" outlineLevel="0" collapsed="false">
      <c r="A16" s="1" t="s">
        <v>10</v>
      </c>
      <c r="B16" s="1" t="n">
        <f aca="false">B10+3997*B14</f>
        <v>-1665.66666666667</v>
      </c>
      <c r="C16" s="1" t="n">
        <f aca="false">C10+3997*C14</f>
        <v>0</v>
      </c>
      <c r="D16" s="1" t="n">
        <f aca="false">D10+3997*D14</f>
        <v>-332.333333333333</v>
      </c>
      <c r="E16" s="1" t="n">
        <f aca="false">E10+3997*E14</f>
        <v>1000</v>
      </c>
      <c r="F16" s="1" t="n">
        <f aca="false">F10+3997*F14</f>
        <v>1332.33333333333</v>
      </c>
      <c r="G16" s="1" t="n">
        <f aca="false">G10+3997*G14</f>
        <v>0</v>
      </c>
      <c r="H16" s="1" t="n">
        <f aca="false">H10+3997*H14</f>
        <v>-2006</v>
      </c>
    </row>
    <row r="19" customFormat="false" ht="15" hidden="false" customHeight="true" outlineLevel="0" collapsed="false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</row>
    <row r="20" customFormat="false" ht="15" hidden="false" customHeight="true" outlineLevel="0" collapsed="false">
      <c r="A20" s="1" t="s">
        <v>2</v>
      </c>
      <c r="B20" s="1" t="n">
        <f aca="false">B14-(1/3)*B21</f>
        <v>0</v>
      </c>
      <c r="C20" s="1" t="n">
        <f aca="false">C14-(1/3)*C21</f>
        <v>1</v>
      </c>
      <c r="D20" s="1" t="n">
        <f aca="false">D14-(1/3)*D21</f>
        <v>-0.4</v>
      </c>
      <c r="E20" s="1" t="n">
        <f aca="false">E14-(1/3)*E21</f>
        <v>0.2</v>
      </c>
      <c r="F20" s="1" t="n">
        <f aca="false">F14-(1/3)*F21</f>
        <v>0.4</v>
      </c>
      <c r="G20" s="1" t="n">
        <f aca="false">G14-(1/3)*G21</f>
        <v>-0.2</v>
      </c>
      <c r="H20" s="1" t="n">
        <f aca="false">H14-(1/3)*H21</f>
        <v>1.6</v>
      </c>
    </row>
    <row r="21" customFormat="false" ht="15" hidden="false" customHeight="true" outlineLevel="0" collapsed="false">
      <c r="A21" s="1" t="s">
        <v>1</v>
      </c>
      <c r="B21" s="1" t="n">
        <f aca="false">B15/(5/3)</f>
        <v>1</v>
      </c>
      <c r="C21" s="1" t="n">
        <f aca="false">C15/(5/3)</f>
        <v>0</v>
      </c>
      <c r="D21" s="1" t="n">
        <f aca="false">D15/(5/3)</f>
        <v>0.2</v>
      </c>
      <c r="E21" s="1" t="n">
        <f aca="false">E15/(5/3)</f>
        <v>-0.6</v>
      </c>
      <c r="F21" s="1" t="n">
        <f aca="false">F15/(5/3)</f>
        <v>-0.2</v>
      </c>
      <c r="G21" s="1" t="n">
        <f aca="false">G15/(5/3)</f>
        <v>0.6</v>
      </c>
      <c r="H21" s="1" t="n">
        <f aca="false">H15/(5/3)</f>
        <v>1.2</v>
      </c>
    </row>
    <row r="22" customFormat="false" ht="15" hidden="false" customHeight="true" outlineLevel="0" collapsed="false">
      <c r="A22" s="1" t="s">
        <v>10</v>
      </c>
      <c r="B22" s="1" t="n">
        <f aca="false">B16+(4997/3)*B21</f>
        <v>0</v>
      </c>
      <c r="C22" s="1" t="n">
        <f aca="false">C16+(4997/3)*C21</f>
        <v>0</v>
      </c>
      <c r="D22" s="1" t="n">
        <f aca="false">D16+(4997/3)*D21</f>
        <v>0.800000000000068</v>
      </c>
      <c r="E22" s="1" t="n">
        <f aca="false">E16+(4997/3)*E21</f>
        <v>0.600000000000023</v>
      </c>
      <c r="F22" s="1" t="n">
        <f aca="false">F16+(4997/3)*F21</f>
        <v>999.2</v>
      </c>
      <c r="G22" s="1" t="n">
        <f aca="false">G16+(4997/3)*G21</f>
        <v>999.4</v>
      </c>
      <c r="H22" s="1" t="n">
        <f aca="false">H16+(4997/3)*H21</f>
        <v>-7.20000000000005</v>
      </c>
    </row>
    <row r="24" customFormat="false" ht="15" hidden="false" customHeight="true" outlineLevel="0" collapsed="false">
      <c r="A24" s="1" t="s">
        <v>12</v>
      </c>
    </row>
    <row r="25" customFormat="false" ht="15" hidden="false" customHeight="true" outlineLevel="0" collapsed="false">
      <c r="A25" s="1" t="s">
        <v>1</v>
      </c>
      <c r="B25" s="1" t="n">
        <f aca="false">H21</f>
        <v>1.2</v>
      </c>
    </row>
    <row r="26" customFormat="false" ht="15" hidden="false" customHeight="true" outlineLevel="0" collapsed="false">
      <c r="A26" s="1" t="s">
        <v>2</v>
      </c>
      <c r="B26" s="1" t="n">
        <f aca="false">H20</f>
        <v>1.6</v>
      </c>
    </row>
    <row r="27" customFormat="false" ht="15" hidden="false" customHeight="true" outlineLevel="0" collapsed="false">
      <c r="A27" s="1" t="s">
        <v>13</v>
      </c>
      <c r="B27" s="1" t="n">
        <f aca="false">-H22</f>
        <v>7.20000000000005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