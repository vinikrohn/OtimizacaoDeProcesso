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1" sheetId="1" state="visible" r:id="rId3"/>
    <sheet name="Ex2" sheetId="2" state="visible" r:id="rId4"/>
    <sheet name="Ex3" sheetId="3" state="visible" r:id="rId5"/>
    <sheet name="Ex4" sheetId="4" state="visible" r:id="rId6"/>
    <sheet name="Ex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<sst xmlns="http://schemas.openxmlformats.org/spreadsheetml/2006/main" count="189" uniqueCount="26">
  <si>
    <t xml:space="preserve">BASE</t>
  </si>
  <si>
    <t xml:space="preserve">X1</t>
  </si>
  <si>
    <t xml:space="preserve">X2</t>
  </si>
  <si>
    <t xml:space="preserve">F1</t>
  </si>
  <si>
    <t xml:space="preserve">F2</t>
  </si>
  <si>
    <t xml:space="preserve">F3</t>
  </si>
  <si>
    <t xml:space="preserve">B</t>
  </si>
  <si>
    <t xml:space="preserve">RAZAO</t>
  </si>
  <si>
    <t xml:space="preserve">Z</t>
  </si>
  <si>
    <t xml:space="preserve">RESPOSTA</t>
  </si>
  <si>
    <t xml:space="preserve">X3</t>
  </si>
  <si>
    <t xml:space="preserve">a) Não é ótimo: há negativos na linha Z (X2 = -5 e X3 = -10).</t>
  </si>
  <si>
    <t xml:space="preserve">b) Entra X3, sai F2 (razão 15/2 = 7,5). Novo quadro = 2º quadro.</t>
  </si>
  <si>
    <t xml:space="preserve">c) Ainda não é ótimo: X2 continua negativo na linha Z (-10).</t>
  </si>
  <si>
    <t xml:space="preserve">    Mais uma iteração (3º quadro) chega ao ótimo:</t>
  </si>
  <si>
    <t xml:space="preserve">Z =</t>
  </si>
  <si>
    <t xml:space="preserve">Obs.: no slide a 1ª linha da base aparece como x2, mas a coluna identidade é X1.</t>
  </si>
  <si>
    <t xml:space="preserve">a) Z =</t>
  </si>
  <si>
    <t xml:space="preserve">b) X1 =</t>
  </si>
  <si>
    <t xml:space="preserve">    X2 =</t>
  </si>
  <si>
    <t xml:space="preserve">    X3 =</t>
  </si>
  <si>
    <t xml:space="preserve">c) F1 =</t>
  </si>
  <si>
    <t xml:space="preserve">    F2 =</t>
  </si>
  <si>
    <t xml:space="preserve">Não houve sobra: F1 e F2 estão fora da base (= 0), os dois recursos foram usados por completo.</t>
  </si>
  <si>
    <t xml:space="preserve">O quadro é ótimo porque não há valores negativos na linha Z.</t>
  </si>
  <si>
    <t xml:space="preserve">X1 = Smartphone, X2 = Laptop, X3 = Tablet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</si>
</sst>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3</v>
      </c>
      <c r="B2" s="0" t="n">
        <v>1</v>
      </c>
      <c r="C2" s="0" t="n">
        <v>0</v>
      </c>
      <c r="D2" s="0" t="n">
        <v>1</v>
      </c>
      <c r="E2" s="0" t="n">
        <v>0</v>
      </c>
      <c r="F2" s="0" t="n">
        <v>0</v>
      </c>
      <c r="G2" s="0" t="n">
        <v>4</v>
      </c>
    </row>
    <row r="3" customFormat="false" ht="15" hidden="false" customHeight="false" outlineLevel="0" collapsed="false">
      <c r="A3" s="0" t="s">
        <v>4</v>
      </c>
      <c r="B3" s="0" t="n">
        <v>0</v>
      </c>
      <c r="C3" s="0" t="n">
        <v>2</v>
      </c>
      <c r="D3" s="0" t="n">
        <v>0</v>
      </c>
      <c r="E3" s="0" t="n">
        <v>1</v>
      </c>
      <c r="F3" s="0" t="n">
        <v>0</v>
      </c>
      <c r="G3" s="0" t="n">
        <v>12</v>
      </c>
      <c r="H3" s="0" t="n">
        <f aca="false">G3/C3</f>
        <v>6</v>
      </c>
    </row>
    <row r="4" customFormat="false" ht="15" hidden="false" customHeight="false" outlineLevel="0" collapsed="false">
      <c r="A4" s="0" t="s">
        <v>5</v>
      </c>
      <c r="B4" s="0" t="n">
        <v>3</v>
      </c>
      <c r="C4" s="0" t="n">
        <v>2</v>
      </c>
      <c r="D4" s="0" t="n">
        <v>0</v>
      </c>
      <c r="E4" s="0" t="n">
        <v>0</v>
      </c>
      <c r="F4" s="0" t="n">
        <v>1</v>
      </c>
      <c r="G4" s="0" t="n">
        <v>18</v>
      </c>
      <c r="H4" s="0" t="n">
        <f aca="false">G4/C4</f>
        <v>9</v>
      </c>
    </row>
    <row r="5" customFormat="false" ht="15" hidden="false" customHeight="false" outlineLevel="0" collapsed="false">
      <c r="A5" s="0" t="s">
        <v>8</v>
      </c>
      <c r="B5" s="0" t="n">
        <v>-3</v>
      </c>
      <c r="C5" s="0" t="n">
        <v>-5</v>
      </c>
      <c r="D5" s="0" t="n">
        <v>0</v>
      </c>
      <c r="E5" s="0" t="n">
        <v>0</v>
      </c>
      <c r="F5" s="0" t="n">
        <v>0</v>
      </c>
      <c r="G5" s="0" t="n">
        <v>0</v>
      </c>
    </row>
    <row r="8" customFormat="false" ht="15" hidden="false" customHeight="false" outlineLevel="0" collapsed="false">
      <c r="A8" s="0" t="s">
        <v>0</v>
      </c>
      <c r="B8" s="0" t="s">
        <v>1</v>
      </c>
      <c r="C8" s="0" t="s">
        <v>2</v>
      </c>
      <c r="D8" s="0" t="s">
        <v>3</v>
      </c>
      <c r="E8" s="0" t="s">
        <v>4</v>
      </c>
      <c r="F8" s="0" t="s">
        <v>5</v>
      </c>
      <c r="G8" s="0" t="s">
        <v>6</v>
      </c>
      <c r="H8" s="0" t="s">
        <v>7</v>
      </c>
    </row>
    <row r="9" customFormat="false" ht="15" hidden="false" customHeight="false" outlineLevel="0" collapsed="false">
      <c r="A9" s="0" t="s">
        <v>3</v>
      </c>
      <c r="B9" s="0" t="n">
        <f aca="false">B2</f>
        <v>1</v>
      </c>
      <c r="C9" s="0" t="n">
        <f aca="false">C2</f>
        <v>0</v>
      </c>
      <c r="D9" s="0" t="n">
        <f aca="false">D2</f>
        <v>1</v>
      </c>
      <c r="E9" s="0" t="n">
        <f aca="false">E2</f>
        <v>0</v>
      </c>
      <c r="F9" s="0" t="n">
        <f aca="false">F2</f>
        <v>0</v>
      </c>
      <c r="G9" s="0" t="n">
        <f aca="false">G2</f>
        <v>4</v>
      </c>
      <c r="H9" s="0" t="n">
        <f aca="false">G9/B9</f>
        <v>4</v>
      </c>
    </row>
    <row r="10" customFormat="false" ht="15" hidden="false" customHeight="false" outlineLevel="0" collapsed="false">
      <c r="A10" s="0" t="s">
        <v>2</v>
      </c>
      <c r="B10" s="0" t="n">
        <f aca="false">B3/2</f>
        <v>0</v>
      </c>
      <c r="C10" s="0" t="n">
        <f aca="false">C3/2</f>
        <v>1</v>
      </c>
      <c r="D10" s="0" t="n">
        <f aca="false">D3/2</f>
        <v>0</v>
      </c>
      <c r="E10" s="0" t="n">
        <f aca="false">E3/2</f>
        <v>0.5</v>
      </c>
      <c r="F10" s="0" t="n">
        <f aca="false">F3/2</f>
        <v>0</v>
      </c>
      <c r="G10" s="0" t="n">
        <f aca="false">G3/2</f>
        <v>6</v>
      </c>
    </row>
    <row r="11" customFormat="false" ht="15" hidden="false" customHeight="false" outlineLevel="0" collapsed="false">
      <c r="A11" s="0" t="s">
        <v>5</v>
      </c>
      <c r="B11" s="0" t="n">
        <f aca="false">B4-2*B10</f>
        <v>3</v>
      </c>
      <c r="C11" s="0" t="n">
        <f aca="false">C4-2*C10</f>
        <v>0</v>
      </c>
      <c r="D11" s="0" t="n">
        <f aca="false">D4-2*D10</f>
        <v>0</v>
      </c>
      <c r="E11" s="0" t="n">
        <f aca="false">E4-2*E10</f>
        <v>-1</v>
      </c>
      <c r="F11" s="0" t="n">
        <f aca="false">F4-2*F10</f>
        <v>1</v>
      </c>
      <c r="G11" s="0" t="n">
        <f aca="false">G4-2*G10</f>
        <v>6</v>
      </c>
      <c r="H11" s="0" t="n">
        <f aca="false">G11/B11</f>
        <v>2</v>
      </c>
    </row>
    <row r="12" customFormat="false" ht="15" hidden="false" customHeight="false" outlineLevel="0" collapsed="false">
      <c r="A12" s="0" t="s">
        <v>8</v>
      </c>
      <c r="B12" s="0" t="n">
        <f aca="false">B5+5*B10</f>
        <v>-3</v>
      </c>
      <c r="C12" s="0" t="n">
        <f aca="false">C5+5*C10</f>
        <v>0</v>
      </c>
      <c r="D12" s="0" t="n">
        <f aca="false">D5+5*D10</f>
        <v>0</v>
      </c>
      <c r="E12" s="0" t="n">
        <f aca="false">E5+5*E10</f>
        <v>2.5</v>
      </c>
      <c r="F12" s="0" t="n">
        <f aca="false">F5+5*F10</f>
        <v>0</v>
      </c>
      <c r="G12" s="0" t="n">
        <f aca="false">G5+5*G10</f>
        <v>30</v>
      </c>
    </row>
    <row r="15" customFormat="false" ht="15" hidden="false" customHeight="false" outlineLevel="0" collapsed="false">
      <c r="A15" s="0" t="s">
        <v>0</v>
      </c>
      <c r="B15" s="0" t="s">
        <v>1</v>
      </c>
      <c r="C15" s="0" t="s">
        <v>2</v>
      </c>
      <c r="D15" s="0" t="s">
        <v>3</v>
      </c>
      <c r="E15" s="0" t="s">
        <v>4</v>
      </c>
      <c r="F15" s="0" t="s">
        <v>5</v>
      </c>
      <c r="G15" s="0" t="s">
        <v>6</v>
      </c>
    </row>
    <row r="16" customFormat="false" ht="15" hidden="false" customHeight="false" outlineLevel="0" collapsed="false">
      <c r="A16" s="0" t="s">
        <v>3</v>
      </c>
      <c r="B16" s="0" t="n">
        <f aca="false">B9-B18</f>
        <v>0</v>
      </c>
      <c r="C16" s="0" t="n">
        <f aca="false">C9-C18</f>
        <v>0</v>
      </c>
      <c r="D16" s="0" t="n">
        <f aca="false">D9-D18</f>
        <v>1</v>
      </c>
      <c r="E16" s="0" t="n">
        <f aca="false">E9-E18</f>
        <v>0.333333333333333</v>
      </c>
      <c r="F16" s="0" t="n">
        <f aca="false">F9-F18</f>
        <v>-0.333333333333333</v>
      </c>
      <c r="G16" s="0" t="n">
        <f aca="false">G9-G18</f>
        <v>2</v>
      </c>
    </row>
    <row r="17" customFormat="false" ht="15" hidden="false" customHeight="false" outlineLevel="0" collapsed="false">
      <c r="A17" s="0" t="s">
        <v>2</v>
      </c>
      <c r="B17" s="0" t="n">
        <f aca="false">B10</f>
        <v>0</v>
      </c>
      <c r="C17" s="0" t="n">
        <f aca="false">C10</f>
        <v>1</v>
      </c>
      <c r="D17" s="0" t="n">
        <f aca="false">D10</f>
        <v>0</v>
      </c>
      <c r="E17" s="0" t="n">
        <f aca="false">E10</f>
        <v>0.5</v>
      </c>
      <c r="F17" s="0" t="n">
        <f aca="false">F10</f>
        <v>0</v>
      </c>
      <c r="G17" s="0" t="n">
        <f aca="false">G10</f>
        <v>6</v>
      </c>
    </row>
    <row r="18" customFormat="false" ht="15" hidden="false" customHeight="false" outlineLevel="0" collapsed="false">
      <c r="A18" s="0" t="s">
        <v>1</v>
      </c>
      <c r="B18" s="0" t="n">
        <f aca="false">B11/3</f>
        <v>1</v>
      </c>
      <c r="C18" s="0" t="n">
        <f aca="false">C11/3</f>
        <v>0</v>
      </c>
      <c r="D18" s="0" t="n">
        <f aca="false">D11/3</f>
        <v>0</v>
      </c>
      <c r="E18" s="0" t="n">
        <f aca="false">E11/3</f>
        <v>-0.333333333333333</v>
      </c>
      <c r="F18" s="0" t="n">
        <f aca="false">F11/3</f>
        <v>0.333333333333333</v>
      </c>
      <c r="G18" s="0" t="n">
        <f aca="false">G11/3</f>
        <v>2</v>
      </c>
    </row>
    <row r="19" customFormat="false" ht="15" hidden="false" customHeight="false" outlineLevel="0" collapsed="false">
      <c r="A19" s="0" t="s">
        <v>8</v>
      </c>
      <c r="B19" s="0" t="n">
        <f aca="false">B12+3*B18</f>
        <v>0</v>
      </c>
      <c r="C19" s="0" t="n">
        <f aca="false">C12+3*C18</f>
        <v>0</v>
      </c>
      <c r="D19" s="0" t="n">
        <f aca="false">D12+3*D18</f>
        <v>0</v>
      </c>
      <c r="E19" s="0" t="n">
        <f aca="false">E12+3*E18</f>
        <v>1.5</v>
      </c>
      <c r="F19" s="0" t="n">
        <f aca="false">F12+3*F18</f>
        <v>1</v>
      </c>
      <c r="G19" s="0" t="n">
        <f aca="false">G12+3*G18</f>
        <v>36</v>
      </c>
    </row>
    <row r="21" customFormat="false" ht="15" hidden="false" customHeight="false" outlineLevel="0" collapsed="false">
      <c r="A21" s="0" t="s">
        <v>9</v>
      </c>
    </row>
    <row r="22" customFormat="false" ht="15" hidden="false" customHeight="false" outlineLevel="0" collapsed="false">
      <c r="A22" s="0" t="s">
        <v>1</v>
      </c>
      <c r="B22" s="0" t="n">
        <f aca="false">G18</f>
        <v>2</v>
      </c>
    </row>
    <row r="23" customFormat="false" ht="15" hidden="false" customHeight="false" outlineLevel="0" collapsed="false">
      <c r="A23" s="0" t="s">
        <v>2</v>
      </c>
      <c r="B23" s="0" t="n">
        <f aca="false">G17</f>
        <v>6</v>
      </c>
    </row>
    <row r="24" customFormat="false" ht="15" hidden="false" customHeight="false" outlineLevel="0" collapsed="false">
      <c r="A24" s="0" t="s">
        <v>8</v>
      </c>
      <c r="B24" s="0" t="n">
        <f aca="false">G19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10</v>
      </c>
      <c r="E1" s="0" t="s">
        <v>3</v>
      </c>
      <c r="F1" s="0" t="s">
        <v>4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3</v>
      </c>
      <c r="B2" s="0" t="n">
        <v>3</v>
      </c>
      <c r="C2" s="0" t="n">
        <v>2</v>
      </c>
      <c r="D2" s="0" t="n">
        <v>5</v>
      </c>
      <c r="E2" s="0" t="n">
        <v>1</v>
      </c>
      <c r="F2" s="0" t="n">
        <v>0</v>
      </c>
      <c r="G2" s="0" t="n">
        <v>55</v>
      </c>
      <c r="H2" s="0" t="n">
        <f aca="false">G2/B2</f>
        <v>18.3333333333333</v>
      </c>
    </row>
    <row r="3" customFormat="false" ht="15" hidden="false" customHeight="false" outlineLevel="0" collapsed="false">
      <c r="A3" s="0" t="s">
        <v>4</v>
      </c>
      <c r="B3" s="0" t="n">
        <v>2</v>
      </c>
      <c r="C3" s="0" t="n">
        <v>1</v>
      </c>
      <c r="D3" s="0" t="n">
        <v>1</v>
      </c>
      <c r="E3" s="0" t="n">
        <v>0</v>
      </c>
      <c r="F3" s="0" t="n">
        <v>1</v>
      </c>
      <c r="G3" s="0" t="n">
        <v>26</v>
      </c>
      <c r="H3" s="0" t="n">
        <f aca="false">G3/B3</f>
        <v>13</v>
      </c>
    </row>
    <row r="4" customFormat="false" ht="15" hidden="false" customHeight="false" outlineLevel="0" collapsed="false">
      <c r="A4" s="0" t="s">
        <v>8</v>
      </c>
      <c r="B4" s="0" t="n">
        <v>-20</v>
      </c>
      <c r="C4" s="0" t="n">
        <v>-10</v>
      </c>
      <c r="D4" s="0" t="n">
        <v>-15</v>
      </c>
      <c r="E4" s="0" t="n">
        <v>0</v>
      </c>
      <c r="F4" s="0" t="n">
        <v>0</v>
      </c>
      <c r="G4" s="0" t="n">
        <v>0</v>
      </c>
    </row>
    <row r="7" customFormat="false" ht="15" hidden="false" customHeight="false" outlineLevel="0" collapsed="false">
      <c r="A7" s="0" t="s">
        <v>0</v>
      </c>
      <c r="B7" s="0" t="s">
        <v>1</v>
      </c>
      <c r="C7" s="0" t="s">
        <v>2</v>
      </c>
      <c r="D7" s="0" t="s">
        <v>10</v>
      </c>
      <c r="E7" s="0" t="s">
        <v>3</v>
      </c>
      <c r="F7" s="0" t="s">
        <v>4</v>
      </c>
      <c r="G7" s="0" t="s">
        <v>6</v>
      </c>
      <c r="H7" s="0" t="s">
        <v>7</v>
      </c>
    </row>
    <row r="8" customFormat="false" ht="15" hidden="false" customHeight="false" outlineLevel="0" collapsed="false">
      <c r="A8" s="0" t="s">
        <v>3</v>
      </c>
      <c r="B8" s="0" t="n">
        <f aca="false">B2-3*B9</f>
        <v>0</v>
      </c>
      <c r="C8" s="0" t="n">
        <f aca="false">C2-3*C9</f>
        <v>0.5</v>
      </c>
      <c r="D8" s="0" t="n">
        <f aca="false">D2-3*D9</f>
        <v>3.5</v>
      </c>
      <c r="E8" s="0" t="n">
        <f aca="false">E2-3*E9</f>
        <v>1</v>
      </c>
      <c r="F8" s="0" t="n">
        <f aca="false">F2-3*F9</f>
        <v>-1.5</v>
      </c>
      <c r="G8" s="0" t="n">
        <f aca="false">G2-3*G9</f>
        <v>16</v>
      </c>
      <c r="H8" s="0" t="n">
        <f aca="false">G8/D8</f>
        <v>4.57142857142857</v>
      </c>
    </row>
    <row r="9" customFormat="false" ht="15" hidden="false" customHeight="false" outlineLevel="0" collapsed="false">
      <c r="A9" s="0" t="s">
        <v>1</v>
      </c>
      <c r="B9" s="0" t="n">
        <f aca="false">B3/2</f>
        <v>1</v>
      </c>
      <c r="C9" s="0" t="n">
        <f aca="false">C3/2</f>
        <v>0.5</v>
      </c>
      <c r="D9" s="0" t="n">
        <f aca="false">D3/2</f>
        <v>0.5</v>
      </c>
      <c r="E9" s="0" t="n">
        <f aca="false">E3/2</f>
        <v>0</v>
      </c>
      <c r="F9" s="0" t="n">
        <f aca="false">F3/2</f>
        <v>0.5</v>
      </c>
      <c r="G9" s="0" t="n">
        <f aca="false">G3/2</f>
        <v>13</v>
      </c>
      <c r="H9" s="0" t="n">
        <f aca="false">G9/D9</f>
        <v>26</v>
      </c>
    </row>
    <row r="10" customFormat="false" ht="15" hidden="false" customHeight="false" outlineLevel="0" collapsed="false">
      <c r="A10" s="0" t="s">
        <v>8</v>
      </c>
      <c r="B10" s="0" t="n">
        <f aca="false">B4+20*B9</f>
        <v>0</v>
      </c>
      <c r="C10" s="0" t="n">
        <f aca="false">C4+20*C9</f>
        <v>0</v>
      </c>
      <c r="D10" s="0" t="n">
        <f aca="false">D4+20*D9</f>
        <v>-5</v>
      </c>
      <c r="E10" s="0" t="n">
        <f aca="false">E4+20*E9</f>
        <v>0</v>
      </c>
      <c r="F10" s="0" t="n">
        <f aca="false">F4+20*F9</f>
        <v>10</v>
      </c>
      <c r="G10" s="0" t="n">
        <f aca="false">G4+20*G9</f>
        <v>260</v>
      </c>
    </row>
    <row r="13" customFormat="false" ht="15" hidden="false" customHeight="false" outlineLevel="0" collapsed="false">
      <c r="A13" s="0" t="s">
        <v>0</v>
      </c>
      <c r="B13" s="0" t="s">
        <v>1</v>
      </c>
      <c r="C13" s="0" t="s">
        <v>2</v>
      </c>
      <c r="D13" s="0" t="s">
        <v>10</v>
      </c>
      <c r="E13" s="0" t="s">
        <v>3</v>
      </c>
      <c r="F13" s="0" t="s">
        <v>4</v>
      </c>
      <c r="G13" s="0" t="s">
        <v>6</v>
      </c>
    </row>
    <row r="14" customFormat="false" ht="15" hidden="false" customHeight="false" outlineLevel="0" collapsed="false">
      <c r="A14" s="0" t="s">
        <v>10</v>
      </c>
      <c r="B14" s="0" t="n">
        <f aca="false">B8/3.5</f>
        <v>0</v>
      </c>
      <c r="C14" s="0" t="n">
        <f aca="false">C8/3.5</f>
        <v>0.142857142857143</v>
      </c>
      <c r="D14" s="0" t="n">
        <f aca="false">D8/3.5</f>
        <v>1</v>
      </c>
      <c r="E14" s="0" t="n">
        <f aca="false">E8/3.5</f>
        <v>0.285714285714286</v>
      </c>
      <c r="F14" s="0" t="n">
        <f aca="false">F8/3.5</f>
        <v>-0.428571428571429</v>
      </c>
      <c r="G14" s="0" t="n">
        <f aca="false">G8/3.5</f>
        <v>4.57142857142857</v>
      </c>
    </row>
    <row r="15" customFormat="false" ht="15" hidden="false" customHeight="false" outlineLevel="0" collapsed="false">
      <c r="A15" s="0" t="s">
        <v>1</v>
      </c>
      <c r="B15" s="0" t="n">
        <f aca="false">B9-0.5*B14</f>
        <v>1</v>
      </c>
      <c r="C15" s="0" t="n">
        <f aca="false">C9-0.5*C14</f>
        <v>0.428571428571429</v>
      </c>
      <c r="D15" s="0" t="n">
        <f aca="false">D9-0.5*D14</f>
        <v>0</v>
      </c>
      <c r="E15" s="0" t="n">
        <f aca="false">E9-0.5*E14</f>
        <v>-0.142857142857143</v>
      </c>
      <c r="F15" s="0" t="n">
        <f aca="false">F9-0.5*F14</f>
        <v>0.714285714285714</v>
      </c>
      <c r="G15" s="0" t="n">
        <f aca="false">G9-0.5*G14</f>
        <v>10.7142857142857</v>
      </c>
    </row>
    <row r="16" customFormat="false" ht="15" hidden="false" customHeight="false" outlineLevel="0" collapsed="false">
      <c r="A16" s="0" t="s">
        <v>8</v>
      </c>
      <c r="B16" s="0" t="n">
        <f aca="false">B10+5*B14</f>
        <v>0</v>
      </c>
      <c r="C16" s="0" t="n">
        <f aca="false">C10+5*C14</f>
        <v>0.714285714285714</v>
      </c>
      <c r="D16" s="0" t="n">
        <f aca="false">D10+5*D14</f>
        <v>0</v>
      </c>
      <c r="E16" s="0" t="n">
        <f aca="false">E10+5*E14</f>
        <v>1.42857142857143</v>
      </c>
      <c r="F16" s="0" t="n">
        <f aca="false">F10+5*F14</f>
        <v>7.85714285714286</v>
      </c>
      <c r="G16" s="0" t="n">
        <f aca="false">G10+5*G14</f>
        <v>282.857142857143</v>
      </c>
    </row>
    <row r="18" customFormat="false" ht="15" hidden="false" customHeight="false" outlineLevel="0" collapsed="false">
      <c r="A18" s="0" t="s">
        <v>9</v>
      </c>
    </row>
    <row r="19" customFormat="false" ht="15" hidden="false" customHeight="false" outlineLevel="0" collapsed="false">
      <c r="A19" s="0" t="s">
        <v>1</v>
      </c>
      <c r="B19" s="0" t="n">
        <f aca="false">G15</f>
        <v>10.7142857142857</v>
      </c>
    </row>
    <row r="20" customFormat="false" ht="15" hidden="false" customHeight="false" outlineLevel="0" collapsed="false">
      <c r="A20" s="0" t="s">
        <v>2</v>
      </c>
      <c r="B20" s="0" t="n">
        <v>0</v>
      </c>
    </row>
    <row r="21" customFormat="false" ht="15" hidden="false" customHeight="false" outlineLevel="0" collapsed="false">
      <c r="A21" s="0" t="s">
        <v>10</v>
      </c>
      <c r="B21" s="0" t="n">
        <f aca="false">G14</f>
        <v>4.57142857142857</v>
      </c>
    </row>
    <row r="22" customFormat="false" ht="15" hidden="false" customHeight="false" outlineLevel="0" collapsed="false">
      <c r="A22" s="0" t="s">
        <v>8</v>
      </c>
      <c r="B22" s="0" t="n">
        <f aca="false">G16</f>
        <v>282.857142857143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10</v>
      </c>
      <c r="E1" s="0" t="s">
        <v>3</v>
      </c>
      <c r="F1" s="0" t="s">
        <v>4</v>
      </c>
      <c r="G1" s="0" t="s">
        <v>6</v>
      </c>
      <c r="H1" s="0" t="s">
        <v>7</v>
      </c>
      <c r="K1" s="0" t="s">
        <v>11</v>
      </c>
    </row>
    <row r="2" customFormat="false" ht="15" hidden="false" customHeight="false" outlineLevel="0" collapsed="false">
      <c r="A2" s="0" t="s">
        <v>1</v>
      </c>
      <c r="B2" s="0" t="n">
        <v>1</v>
      </c>
      <c r="C2" s="0" t="n">
        <v>2</v>
      </c>
      <c r="D2" s="0" t="n">
        <v>0</v>
      </c>
      <c r="E2" s="0" t="n">
        <v>0.5</v>
      </c>
      <c r="F2" s="0" t="n">
        <v>0</v>
      </c>
      <c r="G2" s="0" t="n">
        <v>10</v>
      </c>
      <c r="K2" s="0" t="s">
        <v>12</v>
      </c>
    </row>
    <row r="3" customFormat="false" ht="15" hidden="false" customHeight="false" outlineLevel="0" collapsed="false">
      <c r="A3" s="0" t="s">
        <v>4</v>
      </c>
      <c r="B3" s="0" t="n">
        <v>0</v>
      </c>
      <c r="C3" s="0" t="n">
        <v>-1</v>
      </c>
      <c r="D3" s="0" t="n">
        <v>2</v>
      </c>
      <c r="E3" s="0" t="n">
        <v>-0.25</v>
      </c>
      <c r="F3" s="0" t="n">
        <v>1</v>
      </c>
      <c r="G3" s="0" t="n">
        <v>15</v>
      </c>
      <c r="H3" s="0" t="n">
        <f aca="false">G3/D3</f>
        <v>7.5</v>
      </c>
      <c r="K3" s="0" t="s">
        <v>13</v>
      </c>
    </row>
    <row r="4" customFormat="false" ht="15" hidden="false" customHeight="false" outlineLevel="0" collapsed="false">
      <c r="A4" s="0" t="s">
        <v>8</v>
      </c>
      <c r="B4" s="0" t="n">
        <v>0</v>
      </c>
      <c r="C4" s="0" t="n">
        <v>-5</v>
      </c>
      <c r="D4" s="0" t="n">
        <v>-10</v>
      </c>
      <c r="E4" s="0" t="n">
        <v>4</v>
      </c>
      <c r="F4" s="0" t="n">
        <v>0</v>
      </c>
      <c r="G4" s="0" t="n">
        <v>250</v>
      </c>
      <c r="K4" s="0" t="s">
        <v>14</v>
      </c>
    </row>
    <row r="5" customFormat="false" ht="15" hidden="false" customHeight="false" outlineLevel="0" collapsed="false">
      <c r="K5" s="0" t="s">
        <v>15</v>
      </c>
      <c r="L5" s="0" t="n">
        <f aca="false">G16</f>
        <v>375</v>
      </c>
    </row>
    <row r="7" customFormat="false" ht="15" hidden="false" customHeight="false" outlineLevel="0" collapsed="false">
      <c r="A7" s="0" t="s">
        <v>0</v>
      </c>
      <c r="B7" s="0" t="s">
        <v>1</v>
      </c>
      <c r="C7" s="0" t="s">
        <v>2</v>
      </c>
      <c r="D7" s="0" t="s">
        <v>10</v>
      </c>
      <c r="E7" s="0" t="s">
        <v>3</v>
      </c>
      <c r="F7" s="0" t="s">
        <v>4</v>
      </c>
      <c r="G7" s="0" t="s">
        <v>6</v>
      </c>
      <c r="H7" s="0" t="s">
        <v>7</v>
      </c>
      <c r="K7" s="0" t="s">
        <v>16</v>
      </c>
    </row>
    <row r="8" customFormat="false" ht="15" hidden="false" customHeight="false" outlineLevel="0" collapsed="false">
      <c r="A8" s="0" t="s">
        <v>1</v>
      </c>
      <c r="B8" s="0" t="n">
        <f aca="false">B2</f>
        <v>1</v>
      </c>
      <c r="C8" s="0" t="n">
        <f aca="false">C2</f>
        <v>2</v>
      </c>
      <c r="D8" s="0" t="n">
        <f aca="false">D2</f>
        <v>0</v>
      </c>
      <c r="E8" s="0" t="n">
        <f aca="false">E2</f>
        <v>0.5</v>
      </c>
      <c r="F8" s="0" t="n">
        <f aca="false">F2</f>
        <v>0</v>
      </c>
      <c r="G8" s="0" t="n">
        <f aca="false">G2</f>
        <v>10</v>
      </c>
      <c r="H8" s="0" t="n">
        <f aca="false">G8/C8</f>
        <v>5</v>
      </c>
    </row>
    <row r="9" customFormat="false" ht="15" hidden="false" customHeight="false" outlineLevel="0" collapsed="false">
      <c r="A9" s="0" t="s">
        <v>10</v>
      </c>
      <c r="B9" s="0" t="n">
        <f aca="false">B3/2</f>
        <v>0</v>
      </c>
      <c r="C9" s="0" t="n">
        <f aca="false">C3/2</f>
        <v>-0.5</v>
      </c>
      <c r="D9" s="0" t="n">
        <f aca="false">D3/2</f>
        <v>1</v>
      </c>
      <c r="E9" s="0" t="n">
        <f aca="false">E3/2</f>
        <v>-0.125</v>
      </c>
      <c r="F9" s="0" t="n">
        <f aca="false">F3/2</f>
        <v>0.5</v>
      </c>
      <c r="G9" s="0" t="n">
        <f aca="false">G3/2</f>
        <v>7.5</v>
      </c>
    </row>
    <row r="10" customFormat="false" ht="15" hidden="false" customHeight="false" outlineLevel="0" collapsed="false">
      <c r="A10" s="0" t="s">
        <v>8</v>
      </c>
      <c r="B10" s="0" t="n">
        <f aca="false">B4+10*B9</f>
        <v>0</v>
      </c>
      <c r="C10" s="0" t="n">
        <f aca="false">C4+10*C9</f>
        <v>-10</v>
      </c>
      <c r="D10" s="0" t="n">
        <f aca="false">D4+10*D9</f>
        <v>0</v>
      </c>
      <c r="E10" s="0" t="n">
        <f aca="false">E4+10*E9</f>
        <v>2.75</v>
      </c>
      <c r="F10" s="0" t="n">
        <f aca="false">F4+10*F9</f>
        <v>5</v>
      </c>
      <c r="G10" s="0" t="n">
        <f aca="false">G4+10*G9</f>
        <v>325</v>
      </c>
    </row>
    <row r="13" customFormat="false" ht="15" hidden="false" customHeight="false" outlineLevel="0" collapsed="false">
      <c r="A13" s="0" t="s">
        <v>0</v>
      </c>
      <c r="B13" s="0" t="s">
        <v>1</v>
      </c>
      <c r="C13" s="0" t="s">
        <v>2</v>
      </c>
      <c r="D13" s="0" t="s">
        <v>10</v>
      </c>
      <c r="E13" s="0" t="s">
        <v>3</v>
      </c>
      <c r="F13" s="0" t="s">
        <v>4</v>
      </c>
      <c r="G13" s="0" t="s">
        <v>6</v>
      </c>
    </row>
    <row r="14" customFormat="false" ht="15" hidden="false" customHeight="false" outlineLevel="0" collapsed="false">
      <c r="A14" s="0" t="s">
        <v>2</v>
      </c>
      <c r="B14" s="0" t="n">
        <f aca="false">B8/2</f>
        <v>0.5</v>
      </c>
      <c r="C14" s="0" t="n">
        <f aca="false">C8/2</f>
        <v>1</v>
      </c>
      <c r="D14" s="0" t="n">
        <f aca="false">D8/2</f>
        <v>0</v>
      </c>
      <c r="E14" s="0" t="n">
        <f aca="false">E8/2</f>
        <v>0.25</v>
      </c>
      <c r="F14" s="0" t="n">
        <f aca="false">F8/2</f>
        <v>0</v>
      </c>
      <c r="G14" s="0" t="n">
        <f aca="false">G8/2</f>
        <v>5</v>
      </c>
    </row>
    <row r="15" customFormat="false" ht="15" hidden="false" customHeight="false" outlineLevel="0" collapsed="false">
      <c r="A15" s="0" t="s">
        <v>10</v>
      </c>
      <c r="B15" s="0" t="n">
        <f aca="false">B9+0.5*B14</f>
        <v>0.25</v>
      </c>
      <c r="C15" s="0" t="n">
        <f aca="false">C9+0.5*C14</f>
        <v>0</v>
      </c>
      <c r="D15" s="0" t="n">
        <f aca="false">D9+0.5*D14</f>
        <v>1</v>
      </c>
      <c r="E15" s="0" t="n">
        <f aca="false">E9+0.5*E14</f>
        <v>0</v>
      </c>
      <c r="F15" s="0" t="n">
        <f aca="false">F9+0.5*F14</f>
        <v>0.5</v>
      </c>
      <c r="G15" s="0" t="n">
        <f aca="false">G9+0.5*G14</f>
        <v>10</v>
      </c>
    </row>
    <row r="16" customFormat="false" ht="15" hidden="false" customHeight="false" outlineLevel="0" collapsed="false">
      <c r="A16" s="0" t="s">
        <v>8</v>
      </c>
      <c r="B16" s="0" t="n">
        <f aca="false">B10+10*B14</f>
        <v>5</v>
      </c>
      <c r="C16" s="0" t="n">
        <f aca="false">C10+10*C14</f>
        <v>0</v>
      </c>
      <c r="D16" s="0" t="n">
        <f aca="false">D10+10*D14</f>
        <v>0</v>
      </c>
      <c r="E16" s="0" t="n">
        <f aca="false">E10+10*E14</f>
        <v>5.25</v>
      </c>
      <c r="F16" s="0" t="n">
        <f aca="false">F10+10*F14</f>
        <v>5</v>
      </c>
      <c r="G16" s="0" t="n">
        <f aca="false">G10+10*G14</f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10</v>
      </c>
      <c r="E1" s="0" t="s">
        <v>3</v>
      </c>
      <c r="F1" s="0" t="s">
        <v>4</v>
      </c>
      <c r="G1" s="0" t="s">
        <v>6</v>
      </c>
      <c r="J1" s="0" t="s">
        <v>17</v>
      </c>
      <c r="K1" s="0" t="n">
        <f aca="false">G4</f>
        <v>1250</v>
      </c>
    </row>
    <row r="2" customFormat="false" ht="15" hidden="false" customHeight="false" outlineLevel="0" collapsed="false">
      <c r="A2" s="0" t="s">
        <v>2</v>
      </c>
      <c r="B2" s="0" t="n">
        <v>0</v>
      </c>
      <c r="C2" s="0" t="n">
        <v>1</v>
      </c>
      <c r="D2" s="0" t="n">
        <v>1.5</v>
      </c>
      <c r="E2" s="0" t="n">
        <v>1</v>
      </c>
      <c r="F2" s="0" t="n">
        <v>-0.5</v>
      </c>
      <c r="G2" s="0" t="n">
        <v>30</v>
      </c>
      <c r="J2" s="0" t="s">
        <v>18</v>
      </c>
      <c r="K2" s="0" t="n">
        <f aca="false">G3</f>
        <v>15</v>
      </c>
    </row>
    <row r="3" customFormat="false" ht="15" hidden="false" customHeight="false" outlineLevel="0" collapsed="false">
      <c r="A3" s="0" t="s">
        <v>1</v>
      </c>
      <c r="B3" s="0" t="n">
        <v>1</v>
      </c>
      <c r="C3" s="0" t="n">
        <v>0</v>
      </c>
      <c r="D3" s="0" t="n">
        <v>-0.5</v>
      </c>
      <c r="E3" s="0" t="n">
        <v>-1</v>
      </c>
      <c r="F3" s="0" t="n">
        <v>1.5</v>
      </c>
      <c r="G3" s="0" t="n">
        <v>15</v>
      </c>
      <c r="J3" s="0" t="s">
        <v>19</v>
      </c>
      <c r="K3" s="0" t="n">
        <f aca="false">G2</f>
        <v>30</v>
      </c>
    </row>
    <row r="4" customFormat="false" ht="15" hidden="false" customHeight="false" outlineLevel="0" collapsed="false">
      <c r="A4" s="0" t="s">
        <v>8</v>
      </c>
      <c r="B4" s="0" t="n">
        <v>0</v>
      </c>
      <c r="C4" s="0" t="n">
        <v>0</v>
      </c>
      <c r="D4" s="0" t="n">
        <v>5</v>
      </c>
      <c r="E4" s="0" t="n">
        <v>10</v>
      </c>
      <c r="F4" s="0" t="n">
        <v>20</v>
      </c>
      <c r="G4" s="0" t="n">
        <v>1250</v>
      </c>
      <c r="J4" s="0" t="s">
        <v>20</v>
      </c>
      <c r="K4" s="0" t="n">
        <v>0</v>
      </c>
    </row>
    <row r="5" customFormat="false" ht="15" hidden="false" customHeight="false" outlineLevel="0" collapsed="false">
      <c r="J5" s="0" t="s">
        <v>21</v>
      </c>
      <c r="K5" s="0" t="n">
        <v>0</v>
      </c>
    </row>
    <row r="6" customFormat="false" ht="15" hidden="false" customHeight="false" outlineLevel="0" collapsed="false">
      <c r="J6" s="0" t="s">
        <v>22</v>
      </c>
      <c r="K6" s="0" t="n">
        <v>0</v>
      </c>
    </row>
    <row r="7" customFormat="false" ht="15" hidden="false" customHeight="false" outlineLevel="0" collapsed="false">
      <c r="J7" s="0" t="s">
        <v>23</v>
      </c>
    </row>
    <row r="8" customFormat="false" ht="15" hidden="false" customHeight="false" outlineLevel="0" collapsed="false">
      <c r="J8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10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K1" s="0" t="s">
        <v>25</v>
      </c>
    </row>
    <row r="2" customFormat="false" ht="15" hidden="false" customHeight="false" outlineLevel="0" collapsed="false">
      <c r="A2" s="0" t="s">
        <v>3</v>
      </c>
      <c r="B2" s="0" t="n">
        <v>2</v>
      </c>
      <c r="C2" s="0" t="n">
        <v>4</v>
      </c>
      <c r="D2" s="0" t="n">
        <v>3</v>
      </c>
      <c r="E2" s="0" t="n">
        <v>1</v>
      </c>
      <c r="F2" s="0" t="n">
        <v>0</v>
      </c>
      <c r="G2" s="0" t="n">
        <v>0</v>
      </c>
      <c r="H2" s="0" t="n">
        <v>240</v>
      </c>
      <c r="I2" s="0" t="n">
        <f aca="false">H2/C2</f>
        <v>60</v>
      </c>
    </row>
    <row r="3" customFormat="false" ht="15" hidden="false" customHeight="false" outlineLevel="0" collapsed="false">
      <c r="A3" s="0" t="s">
        <v>4</v>
      </c>
      <c r="B3" s="0" t="n">
        <v>1</v>
      </c>
      <c r="C3" s="0" t="n">
        <v>3</v>
      </c>
      <c r="D3" s="0" t="n">
        <v>2</v>
      </c>
      <c r="E3" s="0" t="n">
        <v>0</v>
      </c>
      <c r="F3" s="0" t="n">
        <v>1</v>
      </c>
      <c r="G3" s="0" t="n">
        <v>0</v>
      </c>
      <c r="H3" s="0" t="n">
        <v>180</v>
      </c>
      <c r="I3" s="0" t="n">
        <f aca="false">H3/C3</f>
        <v>60</v>
      </c>
    </row>
    <row r="4" customFormat="false" ht="15" hidden="false" customHeight="false" outlineLevel="0" collapsed="false">
      <c r="A4" s="0" t="s">
        <v>5</v>
      </c>
      <c r="B4" s="0" t="n">
        <v>1</v>
      </c>
      <c r="C4" s="0" t="n">
        <v>2</v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100</v>
      </c>
      <c r="I4" s="0" t="n">
        <f aca="false">H4/C4</f>
        <v>50</v>
      </c>
    </row>
    <row r="5" customFormat="false" ht="15" hidden="false" customHeight="false" outlineLevel="0" collapsed="false">
      <c r="A5" s="0" t="s">
        <v>8</v>
      </c>
      <c r="B5" s="0" t="n">
        <v>-300</v>
      </c>
      <c r="C5" s="0" t="n">
        <v>-500</v>
      </c>
      <c r="D5" s="0" t="n">
        <v>-400</v>
      </c>
      <c r="E5" s="0" t="n">
        <v>0</v>
      </c>
      <c r="F5" s="0" t="n">
        <v>0</v>
      </c>
      <c r="G5" s="0" t="n">
        <v>0</v>
      </c>
      <c r="H5" s="0" t="n">
        <v>0</v>
      </c>
    </row>
    <row r="8" customFormat="false" ht="15" hidden="false" customHeight="false" outlineLevel="0" collapsed="false">
      <c r="A8" s="0" t="s">
        <v>0</v>
      </c>
      <c r="B8" s="0" t="s">
        <v>1</v>
      </c>
      <c r="C8" s="0" t="s">
        <v>2</v>
      </c>
      <c r="D8" s="0" t="s">
        <v>10</v>
      </c>
      <c r="E8" s="0" t="s">
        <v>3</v>
      </c>
      <c r="F8" s="0" t="s">
        <v>4</v>
      </c>
      <c r="G8" s="0" t="s">
        <v>5</v>
      </c>
      <c r="H8" s="0" t="s">
        <v>6</v>
      </c>
      <c r="I8" s="0" t="s">
        <v>7</v>
      </c>
    </row>
    <row r="9" customFormat="false" ht="15" hidden="false" customHeight="false" outlineLevel="0" collapsed="false">
      <c r="A9" s="0" t="s">
        <v>3</v>
      </c>
      <c r="B9" s="0" t="n">
        <f aca="false">B2-4*B11</f>
        <v>0</v>
      </c>
      <c r="C9" s="0" t="n">
        <f aca="false">C2-4*C11</f>
        <v>0</v>
      </c>
      <c r="D9" s="0" t="n">
        <f aca="false">D2-4*D11</f>
        <v>1</v>
      </c>
      <c r="E9" s="0" t="n">
        <f aca="false">E2-4*E11</f>
        <v>1</v>
      </c>
      <c r="F9" s="0" t="n">
        <f aca="false">F2-4*F11</f>
        <v>0</v>
      </c>
      <c r="G9" s="0" t="n">
        <f aca="false">G2-4*G11</f>
        <v>-2</v>
      </c>
      <c r="H9" s="0" t="n">
        <f aca="false">H2-4*H11</f>
        <v>40</v>
      </c>
      <c r="I9" s="0" t="n">
        <f aca="false">H9/D9</f>
        <v>40</v>
      </c>
    </row>
    <row r="10" customFormat="false" ht="15" hidden="false" customHeight="false" outlineLevel="0" collapsed="false">
      <c r="A10" s="0" t="s">
        <v>4</v>
      </c>
      <c r="B10" s="0" t="n">
        <f aca="false">B3-3*B11</f>
        <v>-0.5</v>
      </c>
      <c r="C10" s="0" t="n">
        <f aca="false">C3-3*C11</f>
        <v>0</v>
      </c>
      <c r="D10" s="0" t="n">
        <f aca="false">D3-3*D11</f>
        <v>0.5</v>
      </c>
      <c r="E10" s="0" t="n">
        <f aca="false">E3-3*E11</f>
        <v>0</v>
      </c>
      <c r="F10" s="0" t="n">
        <f aca="false">F3-3*F11</f>
        <v>1</v>
      </c>
      <c r="G10" s="0" t="n">
        <f aca="false">G3-3*G11</f>
        <v>-1.5</v>
      </c>
      <c r="H10" s="0" t="n">
        <f aca="false">H3-3*H11</f>
        <v>30</v>
      </c>
      <c r="I10" s="0" t="n">
        <f aca="false">H10/D10</f>
        <v>60</v>
      </c>
    </row>
    <row r="11" customFormat="false" ht="15" hidden="false" customHeight="false" outlineLevel="0" collapsed="false">
      <c r="A11" s="0" t="s">
        <v>2</v>
      </c>
      <c r="B11" s="0" t="n">
        <f aca="false">B4/2</f>
        <v>0.5</v>
      </c>
      <c r="C11" s="0" t="n">
        <f aca="false">C4/2</f>
        <v>1</v>
      </c>
      <c r="D11" s="0" t="n">
        <f aca="false">D4/2</f>
        <v>0.5</v>
      </c>
      <c r="E11" s="0" t="n">
        <f aca="false">E4/2</f>
        <v>0</v>
      </c>
      <c r="F11" s="0" t="n">
        <f aca="false">F4/2</f>
        <v>0</v>
      </c>
      <c r="G11" s="0" t="n">
        <f aca="false">G4/2</f>
        <v>0.5</v>
      </c>
      <c r="H11" s="0" t="n">
        <f aca="false">H4/2</f>
        <v>50</v>
      </c>
      <c r="I11" s="0" t="n">
        <f aca="false">H11/D11</f>
        <v>100</v>
      </c>
    </row>
    <row r="12" customFormat="false" ht="15" hidden="false" customHeight="false" outlineLevel="0" collapsed="false">
      <c r="A12" s="0" t="s">
        <v>8</v>
      </c>
      <c r="B12" s="0" t="n">
        <f aca="false">B5+500*B11</f>
        <v>-50</v>
      </c>
      <c r="C12" s="0" t="n">
        <f aca="false">C5+500*C11</f>
        <v>0</v>
      </c>
      <c r="D12" s="0" t="n">
        <f aca="false">D5+500*D11</f>
        <v>-150</v>
      </c>
      <c r="E12" s="0" t="n">
        <f aca="false">E5+500*E11</f>
        <v>0</v>
      </c>
      <c r="F12" s="0" t="n">
        <f aca="false">F5+500*F11</f>
        <v>0</v>
      </c>
      <c r="G12" s="0" t="n">
        <f aca="false">G5+500*G11</f>
        <v>250</v>
      </c>
      <c r="H12" s="0" t="n">
        <f aca="false">H5+500*H11</f>
        <v>25000</v>
      </c>
    </row>
    <row r="15" customFormat="false" ht="15" hidden="false" customHeight="false" outlineLevel="0" collapsed="false">
      <c r="A15" s="0" t="s">
        <v>0</v>
      </c>
      <c r="B15" s="0" t="s">
        <v>1</v>
      </c>
      <c r="C15" s="0" t="s">
        <v>2</v>
      </c>
      <c r="D15" s="0" t="s">
        <v>10</v>
      </c>
      <c r="E15" s="0" t="s">
        <v>3</v>
      </c>
      <c r="F15" s="0" t="s">
        <v>4</v>
      </c>
      <c r="G15" s="0" t="s">
        <v>5</v>
      </c>
      <c r="H15" s="0" t="s">
        <v>6</v>
      </c>
      <c r="I15" s="0" t="s">
        <v>7</v>
      </c>
    </row>
    <row r="16" customFormat="false" ht="15" hidden="false" customHeight="false" outlineLevel="0" collapsed="false">
      <c r="A16" s="0" t="s">
        <v>10</v>
      </c>
      <c r="B16" s="0" t="n">
        <f aca="false">B9</f>
        <v>0</v>
      </c>
      <c r="C16" s="0" t="n">
        <f aca="false">C9</f>
        <v>0</v>
      </c>
      <c r="D16" s="0" t="n">
        <f aca="false">D9</f>
        <v>1</v>
      </c>
      <c r="E16" s="0" t="n">
        <f aca="false">E9</f>
        <v>1</v>
      </c>
      <c r="F16" s="0" t="n">
        <f aca="false">F9</f>
        <v>0</v>
      </c>
      <c r="G16" s="0" t="n">
        <f aca="false">G9</f>
        <v>-2</v>
      </c>
      <c r="H16" s="0" t="n">
        <f aca="false">H9</f>
        <v>40</v>
      </c>
    </row>
    <row r="17" customFormat="false" ht="15" hidden="false" customHeight="false" outlineLevel="0" collapsed="false">
      <c r="A17" s="0" t="s">
        <v>4</v>
      </c>
      <c r="B17" s="0" t="n">
        <f aca="false">B10-0.5*B16</f>
        <v>-0.5</v>
      </c>
      <c r="C17" s="0" t="n">
        <f aca="false">C10-0.5*C16</f>
        <v>0</v>
      </c>
      <c r="D17" s="0" t="n">
        <f aca="false">D10-0.5*D16</f>
        <v>0</v>
      </c>
      <c r="E17" s="0" t="n">
        <f aca="false">E10-0.5*E16</f>
        <v>-0.5</v>
      </c>
      <c r="F17" s="0" t="n">
        <f aca="false">F10-0.5*F16</f>
        <v>1</v>
      </c>
      <c r="G17" s="0" t="n">
        <f aca="false">G10-0.5*G16</f>
        <v>-0.5</v>
      </c>
      <c r="H17" s="0" t="n">
        <f aca="false">H10-0.5*H16</f>
        <v>10</v>
      </c>
    </row>
    <row r="18" customFormat="false" ht="15" hidden="false" customHeight="false" outlineLevel="0" collapsed="false">
      <c r="A18" s="0" t="s">
        <v>2</v>
      </c>
      <c r="B18" s="0" t="n">
        <f aca="false">B11-0.5*B16</f>
        <v>0.5</v>
      </c>
      <c r="C18" s="0" t="n">
        <f aca="false">C11-0.5*C16</f>
        <v>1</v>
      </c>
      <c r="D18" s="0" t="n">
        <f aca="false">D11-0.5*D16</f>
        <v>0</v>
      </c>
      <c r="E18" s="0" t="n">
        <f aca="false">E11-0.5*E16</f>
        <v>-0.5</v>
      </c>
      <c r="F18" s="0" t="n">
        <f aca="false">F11-0.5*F16</f>
        <v>0</v>
      </c>
      <c r="G18" s="0" t="n">
        <f aca="false">G11-0.5*G16</f>
        <v>1.5</v>
      </c>
      <c r="H18" s="0" t="n">
        <f aca="false">H11-0.5*H16</f>
        <v>30</v>
      </c>
      <c r="I18" s="0" t="n">
        <f aca="false">H18/B18</f>
        <v>60</v>
      </c>
    </row>
    <row r="19" customFormat="false" ht="15" hidden="false" customHeight="false" outlineLevel="0" collapsed="false">
      <c r="A19" s="0" t="s">
        <v>8</v>
      </c>
      <c r="B19" s="0" t="n">
        <f aca="false">B12+150*B16</f>
        <v>-50</v>
      </c>
      <c r="C19" s="0" t="n">
        <f aca="false">C12+150*C16</f>
        <v>0</v>
      </c>
      <c r="D19" s="0" t="n">
        <f aca="false">D12+150*D16</f>
        <v>0</v>
      </c>
      <c r="E19" s="0" t="n">
        <f aca="false">E12+150*E16</f>
        <v>150</v>
      </c>
      <c r="F19" s="0" t="n">
        <f aca="false">F12+150*F16</f>
        <v>0</v>
      </c>
      <c r="G19" s="0" t="n">
        <f aca="false">G12+150*G16</f>
        <v>-50</v>
      </c>
      <c r="H19" s="0" t="n">
        <f aca="false">H12+150*H16</f>
        <v>31000</v>
      </c>
    </row>
    <row r="22" customFormat="false" ht="15" hidden="false" customHeight="false" outlineLevel="0" collapsed="false">
      <c r="A22" s="0" t="s">
        <v>0</v>
      </c>
      <c r="B22" s="0" t="s">
        <v>1</v>
      </c>
      <c r="C22" s="0" t="s">
        <v>2</v>
      </c>
      <c r="D22" s="0" t="s">
        <v>10</v>
      </c>
      <c r="E22" s="0" t="s">
        <v>3</v>
      </c>
      <c r="F22" s="0" t="s">
        <v>4</v>
      </c>
      <c r="G22" s="0" t="s">
        <v>5</v>
      </c>
      <c r="H22" s="0" t="s">
        <v>6</v>
      </c>
    </row>
    <row r="23" customFormat="false" ht="15" hidden="false" customHeight="false" outlineLevel="0" collapsed="false">
      <c r="A23" s="0" t="s">
        <v>10</v>
      </c>
      <c r="B23" s="0" t="n">
        <f aca="false">B16</f>
        <v>0</v>
      </c>
      <c r="C23" s="0" t="n">
        <f aca="false">C16</f>
        <v>0</v>
      </c>
      <c r="D23" s="0" t="n">
        <f aca="false">D16</f>
        <v>1</v>
      </c>
      <c r="E23" s="0" t="n">
        <f aca="false">E16</f>
        <v>1</v>
      </c>
      <c r="F23" s="0" t="n">
        <f aca="false">F16</f>
        <v>0</v>
      </c>
      <c r="G23" s="0" t="n">
        <f aca="false">G16</f>
        <v>-2</v>
      </c>
      <c r="H23" s="0" t="n">
        <f aca="false">H16</f>
        <v>40</v>
      </c>
    </row>
    <row r="24" customFormat="false" ht="15" hidden="false" customHeight="false" outlineLevel="0" collapsed="false">
      <c r="A24" s="0" t="s">
        <v>4</v>
      </c>
      <c r="B24" s="0" t="n">
        <f aca="false">B17+0.5*B25</f>
        <v>0</v>
      </c>
      <c r="C24" s="0" t="n">
        <f aca="false">C17+0.5*C25</f>
        <v>1</v>
      </c>
      <c r="D24" s="0" t="n">
        <f aca="false">D17+0.5*D25</f>
        <v>0</v>
      </c>
      <c r="E24" s="0" t="n">
        <f aca="false">E17+0.5*E25</f>
        <v>-1</v>
      </c>
      <c r="F24" s="0" t="n">
        <f aca="false">F17+0.5*F25</f>
        <v>1</v>
      </c>
      <c r="G24" s="0" t="n">
        <f aca="false">G17+0.5*G25</f>
        <v>1</v>
      </c>
      <c r="H24" s="0" t="n">
        <f aca="false">H17+0.5*H25</f>
        <v>40</v>
      </c>
    </row>
    <row r="25" customFormat="false" ht="15" hidden="false" customHeight="false" outlineLevel="0" collapsed="false">
      <c r="A25" s="0" t="s">
        <v>1</v>
      </c>
      <c r="B25" s="0" t="n">
        <f aca="false">B18/0.5</f>
        <v>1</v>
      </c>
      <c r="C25" s="0" t="n">
        <f aca="false">C18/0.5</f>
        <v>2</v>
      </c>
      <c r="D25" s="0" t="n">
        <f aca="false">D18/0.5</f>
        <v>0</v>
      </c>
      <c r="E25" s="0" t="n">
        <f aca="false">E18/0.5</f>
        <v>-1</v>
      </c>
      <c r="F25" s="0" t="n">
        <f aca="false">F18/0.5</f>
        <v>0</v>
      </c>
      <c r="G25" s="0" t="n">
        <f aca="false">G18/0.5</f>
        <v>3</v>
      </c>
      <c r="H25" s="0" t="n">
        <f aca="false">H18/0.5</f>
        <v>60</v>
      </c>
    </row>
    <row r="26" customFormat="false" ht="15" hidden="false" customHeight="false" outlineLevel="0" collapsed="false">
      <c r="A26" s="0" t="s">
        <v>8</v>
      </c>
      <c r="B26" s="0" t="n">
        <f aca="false">B19+50*B25</f>
        <v>0</v>
      </c>
      <c r="C26" s="0" t="n">
        <f aca="false">C19+50*C25</f>
        <v>100</v>
      </c>
      <c r="D26" s="0" t="n">
        <f aca="false">D19+50*D25</f>
        <v>0</v>
      </c>
      <c r="E26" s="0" t="n">
        <f aca="false">E19+50*E25</f>
        <v>100</v>
      </c>
      <c r="F26" s="0" t="n">
        <f aca="false">F19+50*F25</f>
        <v>0</v>
      </c>
      <c r="G26" s="0" t="n">
        <f aca="false">G19+50*G25</f>
        <v>100</v>
      </c>
      <c r="H26" s="0" t="n">
        <f aca="false">H19+50*H25</f>
        <v>34000</v>
      </c>
    </row>
    <row r="28" customFormat="false" ht="15" hidden="false" customHeight="false" outlineLevel="0" collapsed="false">
      <c r="A28" s="0" t="s">
        <v>9</v>
      </c>
    </row>
    <row r="29" customFormat="false" ht="15" hidden="false" customHeight="false" outlineLevel="0" collapsed="false">
      <c r="A29" s="0" t="s">
        <v>1</v>
      </c>
      <c r="B29" s="0" t="n">
        <f aca="false">H25</f>
        <v>60</v>
      </c>
    </row>
    <row r="30" customFormat="false" ht="15" hidden="false" customHeight="false" outlineLevel="0" collapsed="false">
      <c r="A30" s="0" t="s">
        <v>2</v>
      </c>
      <c r="B30" s="0" t="n">
        <v>0</v>
      </c>
    </row>
    <row r="31" customFormat="false" ht="15" hidden="false" customHeight="false" outlineLevel="0" collapsed="false">
      <c r="A31" s="0" t="s">
        <v>10</v>
      </c>
      <c r="B31" s="0" t="n">
        <f aca="false">H23</f>
        <v>40</v>
      </c>
    </row>
    <row r="32" customFormat="false" ht="15" hidden="false" customHeight="false" outlineLevel="0" collapsed="false">
      <c r="A32" s="0" t="s">
        <v>8</v>
      </c>
      <c r="B32" s="0" t="n">
        <f aca="false">H26</f>
        <v>34000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