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<sst xmlns="http://schemas.openxmlformats.org/spreadsheetml/2006/main" count="47" uniqueCount="19">
  <si>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</si>
  <si>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</si>
  <si>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</si>
  <si>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</si>
  <si>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</si>
  <si>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</si>
  <si>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</si>
  <si>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</si>
  <si>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</si>
  <si>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a) Não é ótimo: ainda há valores negativos na linha Z (X1 = -50 e X3 = -150).</t>
  </si>
  <si>
    <t xml:space="preserve">b) Z =</t>
  </si>
  <si>
    <t xml:space="preserve">c) X1 =</t>
  </si>
  <si>
    <t xml:space="preserve">    X2 =</t>
  </si>
  <si>
    <t xml:space="preserve">Z</t>
  </si>
  <si>
    <t xml:space="preserve">    X3 =</t>
  </si>
  <si>
    <t xml:space="preserve">d) Sim. F1 =</t>
  </si>
  <si>
    <t xml:space="preserve">    F2 =</t>
  </si>
  <si>
    <t xml:space="preserve">    F3 =</t>
  </si>
  <si>
    <t xml:space="preserve">Sobra 40 no recurso 1 e 30 no recurso 2; o recurso 3 foi todo usado.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</si>
</sst>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L1" s="0" t="s">
        <v>9</v>
      </c>
    </row>
    <row r="2" customFormat="false" ht="15" hidden="false" customHeight="false" outlineLevel="0" collapsed="false">
      <c r="A2" s="0" t="s">
        <v>4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  <c r="G2" s="0" t="n">
        <v>-2</v>
      </c>
      <c r="H2" s="0" t="n">
        <v>40</v>
      </c>
      <c r="I2" s="0" t="n">
        <f aca="false">H2/D2</f>
        <v>40</v>
      </c>
      <c r="L2" s="0" t="s">
        <v>10</v>
      </c>
      <c r="M2" s="0" t="n">
        <f aca="false">H5</f>
        <v>25000</v>
      </c>
    </row>
    <row r="3" customFormat="false" ht="15" hidden="false" customHeight="false" outlineLevel="0" collapsed="false">
      <c r="A3" s="0" t="s">
        <v>5</v>
      </c>
      <c r="B3" s="0" t="n">
        <v>-0.5</v>
      </c>
      <c r="C3" s="0" t="n">
        <v>0</v>
      </c>
      <c r="D3" s="0" t="n">
        <v>0.5</v>
      </c>
      <c r="E3" s="0" t="n">
        <v>0</v>
      </c>
      <c r="F3" s="0" t="n">
        <v>1</v>
      </c>
      <c r="G3" s="0" t="n">
        <v>-1.5</v>
      </c>
      <c r="H3" s="0" t="n">
        <v>30</v>
      </c>
      <c r="I3" s="0" t="n">
        <f aca="false">H3/D3</f>
        <v>60</v>
      </c>
      <c r="L3" s="0" t="s">
        <v>11</v>
      </c>
      <c r="M3" s="0" t="n">
        <v>0</v>
      </c>
    </row>
    <row r="4" customFormat="false" ht="15" hidden="false" customHeight="false" outlineLevel="0" collapsed="false">
      <c r="A4" s="0" t="s">
        <v>2</v>
      </c>
      <c r="B4" s="0" t="n">
        <v>0.5</v>
      </c>
      <c r="C4" s="0" t="n">
        <v>1</v>
      </c>
      <c r="D4" s="0" t="n">
        <v>0.5</v>
      </c>
      <c r="E4" s="0" t="n">
        <v>0</v>
      </c>
      <c r="F4" s="0" t="n">
        <v>0</v>
      </c>
      <c r="G4" s="0" t="n">
        <v>0.5</v>
      </c>
      <c r="H4" s="0" t="n">
        <v>50</v>
      </c>
      <c r="I4" s="0" t="n">
        <f aca="false">H4/D4</f>
        <v>100</v>
      </c>
      <c r="L4" s="0" t="s">
        <v>12</v>
      </c>
      <c r="M4" s="0" t="n">
        <f aca="false">H4</f>
        <v>50</v>
      </c>
    </row>
    <row r="5" customFormat="false" ht="15" hidden="false" customHeight="false" outlineLevel="0" collapsed="false">
      <c r="A5" s="0" t="s">
        <v>13</v>
      </c>
      <c r="B5" s="0" t="n">
        <v>-50</v>
      </c>
      <c r="C5" s="0" t="n">
        <v>0</v>
      </c>
      <c r="D5" s="0" t="n">
        <v>-150</v>
      </c>
      <c r="E5" s="0" t="n">
        <v>0</v>
      </c>
      <c r="F5" s="0" t="n">
        <v>0</v>
      </c>
      <c r="G5" s="0" t="n">
        <v>250</v>
      </c>
      <c r="H5" s="0" t="n">
        <v>25000</v>
      </c>
      <c r="L5" s="0" t="s">
        <v>14</v>
      </c>
      <c r="M5" s="0" t="n">
        <v>0</v>
      </c>
    </row>
    <row r="6" customFormat="false" ht="15" hidden="false" customHeight="false" outlineLevel="0" collapsed="false">
      <c r="L6" s="0" t="s">
        <v>15</v>
      </c>
      <c r="M6" s="0" t="n">
        <f aca="false">H2</f>
        <v>40</v>
      </c>
    </row>
    <row r="7" customFormat="false" ht="15" hidden="false" customHeight="false" outlineLevel="0" collapsed="false">
      <c r="L7" s="0" t="s">
        <v>16</v>
      </c>
      <c r="M7" s="0" t="n">
        <f aca="false">H3</f>
        <v>30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3</v>
      </c>
      <c r="E8" s="0" t="s">
        <v>4</v>
      </c>
      <c r="F8" s="0" t="s">
        <v>5</v>
      </c>
      <c r="G8" s="0" t="s">
        <v>6</v>
      </c>
      <c r="H8" s="0" t="s">
        <v>7</v>
      </c>
      <c r="I8" s="0" t="s">
        <v>8</v>
      </c>
      <c r="L8" s="0" t="s">
        <v>17</v>
      </c>
      <c r="M8" s="0" t="n">
        <v>0</v>
      </c>
    </row>
    <row r="9" customFormat="false" ht="15" hidden="false" customHeight="false" outlineLevel="0" collapsed="false">
      <c r="A9" s="0" t="s">
        <v>3</v>
      </c>
      <c r="B9" s="0" t="n">
        <f aca="false">B2</f>
        <v>0</v>
      </c>
      <c r="C9" s="0" t="n">
        <f aca="false">C2</f>
        <v>0</v>
      </c>
      <c r="D9" s="0" t="n">
        <f aca="false">D2</f>
        <v>1</v>
      </c>
      <c r="E9" s="0" t="n">
        <f aca="false">E2</f>
        <v>1</v>
      </c>
      <c r="F9" s="0" t="n">
        <f aca="false">F2</f>
        <v>0</v>
      </c>
      <c r="G9" s="0" t="n">
        <f aca="false">G2</f>
        <v>-2</v>
      </c>
      <c r="H9" s="0" t="n">
        <f aca="false">H2</f>
        <v>40</v>
      </c>
      <c r="L9" s="0" t="s">
        <v>18</v>
      </c>
    </row>
    <row r="10" customFormat="false" ht="15" hidden="false" customHeight="false" outlineLevel="0" collapsed="false">
      <c r="A10" s="0" t="s">
        <v>5</v>
      </c>
      <c r="B10" s="0" t="n">
        <f aca="false">B3-0.5*B9</f>
        <v>-0.5</v>
      </c>
      <c r="C10" s="0" t="n">
        <f aca="false">C3-0.5*C9</f>
        <v>0</v>
      </c>
      <c r="D10" s="0" t="n">
        <f aca="false">D3-0.5*D9</f>
        <v>0</v>
      </c>
      <c r="E10" s="0" t="n">
        <f aca="false">E3-0.5*E9</f>
        <v>-0.5</v>
      </c>
      <c r="F10" s="0" t="n">
        <f aca="false">F3-0.5*F9</f>
        <v>1</v>
      </c>
      <c r="G10" s="0" t="n">
        <f aca="false">G3-0.5*G9</f>
        <v>-0.5</v>
      </c>
      <c r="H10" s="0" t="n">
        <f aca="false">H3-0.5*H9</f>
        <v>10</v>
      </c>
    </row>
    <row r="11" customFormat="false" ht="15" hidden="false" customHeight="false" outlineLevel="0" collapsed="false">
      <c r="A11" s="0" t="s">
        <v>2</v>
      </c>
      <c r="B11" s="0" t="n">
        <f aca="false">B4-0.5*B9</f>
        <v>0.5</v>
      </c>
      <c r="C11" s="0" t="n">
        <f aca="false">C4-0.5*C9</f>
        <v>1</v>
      </c>
      <c r="D11" s="0" t="n">
        <f aca="false">D4-0.5*D9</f>
        <v>0</v>
      </c>
      <c r="E11" s="0" t="n">
        <f aca="false">E4-0.5*E9</f>
        <v>-0.5</v>
      </c>
      <c r="F11" s="0" t="n">
        <f aca="false">F4-0.5*F9</f>
        <v>0</v>
      </c>
      <c r="G11" s="0" t="n">
        <f aca="false">G4-0.5*G9</f>
        <v>1.5</v>
      </c>
      <c r="H11" s="0" t="n">
        <f aca="false">H4-0.5*H9</f>
        <v>30</v>
      </c>
      <c r="I11" s="0" t="n">
        <f aca="false">H11/B11</f>
        <v>60</v>
      </c>
    </row>
    <row r="12" customFormat="false" ht="15" hidden="false" customHeight="false" outlineLevel="0" collapsed="false">
      <c r="A12" s="0" t="s">
        <v>13</v>
      </c>
      <c r="B12" s="0" t="n">
        <f aca="false">B5+150*B9</f>
        <v>-50</v>
      </c>
      <c r="C12" s="0" t="n">
        <f aca="false">C5+150*C9</f>
        <v>0</v>
      </c>
      <c r="D12" s="0" t="n">
        <f aca="false">D5+150*D9</f>
        <v>0</v>
      </c>
      <c r="E12" s="0" t="n">
        <f aca="false">E5+150*E9</f>
        <v>150</v>
      </c>
      <c r="F12" s="0" t="n">
        <f aca="false">F5+150*F9</f>
        <v>0</v>
      </c>
      <c r="G12" s="0" t="n">
        <f aca="false">G5+150*G9</f>
        <v>-50</v>
      </c>
      <c r="H12" s="0" t="n">
        <f aca="false">H5+150*H9</f>
        <v>31000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3</v>
      </c>
      <c r="E15" s="0" t="s">
        <v>4</v>
      </c>
      <c r="F15" s="0" t="s">
        <v>5</v>
      </c>
      <c r="G15" s="0" t="s">
        <v>6</v>
      </c>
      <c r="H15" s="0" t="s">
        <v>7</v>
      </c>
    </row>
    <row r="16" customFormat="false" ht="15" hidden="false" customHeight="false" outlineLevel="0" collapsed="false">
      <c r="A16" s="0" t="s">
        <v>3</v>
      </c>
      <c r="B16" s="0" t="n">
        <f aca="false">B9</f>
        <v>0</v>
      </c>
      <c r="C16" s="0" t="n">
        <f aca="false">C9</f>
        <v>0</v>
      </c>
      <c r="D16" s="0" t="n">
        <f aca="false">D9</f>
        <v>1</v>
      </c>
      <c r="E16" s="0" t="n">
        <f aca="false">E9</f>
        <v>1</v>
      </c>
      <c r="F16" s="0" t="n">
        <f aca="false">F9</f>
        <v>0</v>
      </c>
      <c r="G16" s="0" t="n">
        <f aca="false">G9</f>
        <v>-2</v>
      </c>
      <c r="H16" s="0" t="n">
        <f aca="false">H9</f>
        <v>40</v>
      </c>
    </row>
    <row r="17" customFormat="false" ht="15" hidden="false" customHeight="false" outlineLevel="0" collapsed="false">
      <c r="A17" s="0" t="s">
        <v>5</v>
      </c>
      <c r="B17" s="0" t="n">
        <f aca="false">B10+0.5*B18</f>
        <v>0</v>
      </c>
      <c r="C17" s="0" t="n">
        <f aca="false">C10+0.5*C18</f>
        <v>1</v>
      </c>
      <c r="D17" s="0" t="n">
        <f aca="false">D10+0.5*D18</f>
        <v>0</v>
      </c>
      <c r="E17" s="0" t="n">
        <f aca="false">E10+0.5*E18</f>
        <v>-1</v>
      </c>
      <c r="F17" s="0" t="n">
        <f aca="false">F10+0.5*F18</f>
        <v>1</v>
      </c>
      <c r="G17" s="0" t="n">
        <f aca="false">G10+0.5*G18</f>
        <v>1</v>
      </c>
      <c r="H17" s="0" t="n">
        <f aca="false">H10+0.5*H18</f>
        <v>40</v>
      </c>
    </row>
    <row r="18" customFormat="false" ht="15" hidden="false" customHeight="false" outlineLevel="0" collapsed="false">
      <c r="A18" s="0" t="s">
        <v>1</v>
      </c>
      <c r="B18" s="0" t="n">
        <f aca="false">B11/0.5</f>
        <v>1</v>
      </c>
      <c r="C18" s="0" t="n">
        <f aca="false">C11/0.5</f>
        <v>2</v>
      </c>
      <c r="D18" s="0" t="n">
        <f aca="false">D11/0.5</f>
        <v>0</v>
      </c>
      <c r="E18" s="0" t="n">
        <f aca="false">E11/0.5</f>
        <v>-1</v>
      </c>
      <c r="F18" s="0" t="n">
        <f aca="false">F11/0.5</f>
        <v>0</v>
      </c>
      <c r="G18" s="0" t="n">
        <f aca="false">G11/0.5</f>
        <v>3</v>
      </c>
      <c r="H18" s="0" t="n">
        <f aca="false">H11/0.5</f>
        <v>60</v>
      </c>
    </row>
    <row r="19" customFormat="false" ht="15" hidden="false" customHeight="false" outlineLevel="0" collapsed="false">
      <c r="A19" s="0" t="s">
        <v>13</v>
      </c>
      <c r="B19" s="0" t="n">
        <f aca="false">B12+50*B18</f>
        <v>0</v>
      </c>
      <c r="C19" s="0" t="n">
        <f aca="false">C12+50*C18</f>
        <v>100</v>
      </c>
      <c r="D19" s="0" t="n">
        <f aca="false">D12+50*D18</f>
        <v>0</v>
      </c>
      <c r="E19" s="0" t="n">
        <f aca="false">E12+50*E18</f>
        <v>100</v>
      </c>
      <c r="F19" s="0" t="n">
        <f aca="false">F12+50*F18</f>
        <v>0</v>
      </c>
      <c r="G19" s="0" t="n">
        <f aca="false">G12+50*G18</f>
        <v>100</v>
      </c>
      <c r="H19" s="0" t="n">
        <f aca="false">H12+50*H18</f>
        <v>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2026-10-23T22:41:07Z</dcterms:created>
  <dc:creator>openpyxl</dc:creator>
  <dc:description/>
  <dc:language>en-US</dc:language>
  <cp:lastModifiedBy/>
  <dcterms:modified xsi:type="dcterms:W3CDTF">2026-10-23T22:41:07Z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