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<sst xmlns="http://schemas.openxmlformats.org/spreadsheetml/2006/main" count="38" uniqueCount="15">
  <si>
    <t xml:space="preserve">BASE</t>
  </si>
  <si>
    <t xml:space="preserve">X1</t>
  </si>
  <si>
    <t xml:space="preserve">X2</t>
  </si>
  <si>
    <t xml:space="preserve">X3</t>
  </si>
  <si>
    <t xml:space="preserve">F1</t>
  </si>
  <si>
    <t xml:space="preserve">F2</t>
  </si>
  <si>
    <t xml:space="preserve">B</t>
  </si>
  <si>
    <t xml:space="preserve">RAZAO</t>
  </si>
  <si>
    <t xml:space="preserve">a) Não é ótimo: há negativos na linha Z (X2 = -5 e X3 = -10).</t>
  </si>
  <si>
    <t xml:space="preserve">b) Entra X3, sai F2 (razão 15/2 = 7,5). Novo quadro = 2º quadro.</t>
  </si>
  <si>
    <t xml:space="preserve">c) Ainda não é ótimo: X2 continua negativo na linha Z (-10).</t>
  </si>
  <si>
    <t xml:space="preserve">Z</t>
  </si>
  <si>
    <t xml:space="preserve">    Mais uma iteração (3º quadro) chega ao ótimo:</t>
  </si>
  <si>
    <t xml:space="preserve">Z =</t>
  </si>
  <si>
    <t xml:space="preserve">Obs.: no slide a 1ª linha da base aparece como x2, mas a coluna identidade é X1.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</si>
</sst>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8</v>
      </c>
    </row>
    <row r="2" customFormat="false" ht="15" hidden="false" customHeight="true" outlineLevel="0" collapsed="false">
      <c r="A2" s="1" t="s">
        <v>1</v>
      </c>
      <c r="B2" s="1" t="n">
        <v>1</v>
      </c>
      <c r="C2" s="1" t="n">
        <v>2</v>
      </c>
      <c r="D2" s="1" t="n">
        <v>0</v>
      </c>
      <c r="E2" s="1" t="n">
        <v>0.5</v>
      </c>
      <c r="F2" s="1" t="n">
        <v>0</v>
      </c>
      <c r="G2" s="1" t="n">
        <v>10</v>
      </c>
      <c r="K2" s="1" t="s">
        <v>9</v>
      </c>
    </row>
    <row r="3" customFormat="false" ht="15" hidden="false" customHeight="true" outlineLevel="0" collapsed="false">
      <c r="A3" s="1" t="s">
        <v>5</v>
      </c>
      <c r="B3" s="1" t="n">
        <v>0</v>
      </c>
      <c r="C3" s="1" t="n">
        <v>-1</v>
      </c>
      <c r="D3" s="1" t="n">
        <v>2</v>
      </c>
      <c r="E3" s="1" t="n">
        <v>-0.25</v>
      </c>
      <c r="F3" s="1" t="n">
        <v>1</v>
      </c>
      <c r="G3" s="1" t="n">
        <v>15</v>
      </c>
      <c r="H3" s="1" t="n">
        <f aca="false">G3/D3</f>
        <v>7.5</v>
      </c>
      <c r="K3" s="1" t="s">
        <v>10</v>
      </c>
    </row>
    <row r="4" customFormat="false" ht="15" hidden="false" customHeight="true" outlineLevel="0" collapsed="false">
      <c r="A4" s="1" t="s">
        <v>11</v>
      </c>
      <c r="B4" s="1" t="n">
        <v>0</v>
      </c>
      <c r="C4" s="1" t="n">
        <v>-5</v>
      </c>
      <c r="D4" s="1" t="n">
        <v>-10</v>
      </c>
      <c r="E4" s="1" t="n">
        <v>4</v>
      </c>
      <c r="F4" s="1" t="n">
        <v>0</v>
      </c>
      <c r="G4" s="1" t="n">
        <v>250</v>
      </c>
      <c r="K4" s="1" t="s">
        <v>12</v>
      </c>
    </row>
    <row r="5" customFormat="false" ht="15" hidden="false" customHeight="true" outlineLevel="0" collapsed="false">
      <c r="K5" s="1" t="s">
        <v>13</v>
      </c>
      <c r="L5" s="1" t="n">
        <f aca="false">G16</f>
        <v>375</v>
      </c>
    </row>
    <row r="7" customFormat="false" ht="15" hidden="false" customHeight="true" outlineLevel="0" collapsed="false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K7" s="1" t="s">
        <v>14</v>
      </c>
    </row>
    <row r="8" customFormat="false" ht="15" hidden="false" customHeight="true" outlineLevel="0" collapsed="false">
      <c r="A8" s="1" t="s">
        <v>1</v>
      </c>
      <c r="B8" s="1" t="n">
        <f aca="false">B2</f>
        <v>1</v>
      </c>
      <c r="C8" s="1" t="n">
        <f aca="false">C2</f>
        <v>2</v>
      </c>
      <c r="D8" s="1" t="n">
        <f aca="false">D2</f>
        <v>0</v>
      </c>
      <c r="E8" s="1" t="n">
        <f aca="false">E2</f>
        <v>0.5</v>
      </c>
      <c r="F8" s="1" t="n">
        <f aca="false">F2</f>
        <v>0</v>
      </c>
      <c r="G8" s="1" t="n">
        <f aca="false">G2</f>
        <v>10</v>
      </c>
      <c r="H8" s="1" t="n">
        <f aca="false">G8/C8</f>
        <v>5</v>
      </c>
    </row>
    <row r="9" customFormat="false" ht="15" hidden="false" customHeight="true" outlineLevel="0" collapsed="false">
      <c r="A9" s="1" t="s">
        <v>3</v>
      </c>
      <c r="B9" s="1" t="n">
        <f aca="false">B3/2</f>
        <v>0</v>
      </c>
      <c r="C9" s="1" t="n">
        <f aca="false">C3/2</f>
        <v>-0.5</v>
      </c>
      <c r="D9" s="1" t="n">
        <f aca="false">D3/2</f>
        <v>1</v>
      </c>
      <c r="E9" s="1" t="n">
        <f aca="false">E3/2</f>
        <v>-0.125</v>
      </c>
      <c r="F9" s="1" t="n">
        <f aca="false">F3/2</f>
        <v>0.5</v>
      </c>
      <c r="G9" s="1" t="n">
        <f aca="false">G3/2</f>
        <v>7.5</v>
      </c>
    </row>
    <row r="10" customFormat="false" ht="15" hidden="false" customHeight="true" outlineLevel="0" collapsed="false">
      <c r="A10" s="1" t="s">
        <v>11</v>
      </c>
      <c r="B10" s="1" t="n">
        <f aca="false">B4+10*B9</f>
        <v>0</v>
      </c>
      <c r="C10" s="1" t="n">
        <f aca="false">C4+10*C9</f>
        <v>-10</v>
      </c>
      <c r="D10" s="1" t="n">
        <f aca="false">D4+10*D9</f>
        <v>0</v>
      </c>
      <c r="E10" s="1" t="n">
        <f aca="false">E4+10*E9</f>
        <v>2.75</v>
      </c>
      <c r="F10" s="1" t="n">
        <f aca="false">F4+10*F9</f>
        <v>5</v>
      </c>
      <c r="G10" s="1" t="n">
        <f aca="false">G4+10*G9</f>
        <v>325</v>
      </c>
    </row>
    <row r="13" customFormat="false" ht="15" hidden="false" customHeight="tru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</row>
    <row r="14" customFormat="false" ht="15" hidden="false" customHeight="true" outlineLevel="0" collapsed="false">
      <c r="A14" s="1" t="s">
        <v>2</v>
      </c>
      <c r="B14" s="1" t="n">
        <f aca="false">B8/2</f>
        <v>0.5</v>
      </c>
      <c r="C14" s="1" t="n">
        <f aca="false">C8/2</f>
        <v>1</v>
      </c>
      <c r="D14" s="1" t="n">
        <f aca="false">D8/2</f>
        <v>0</v>
      </c>
      <c r="E14" s="1" t="n">
        <f aca="false">E8/2</f>
        <v>0.25</v>
      </c>
      <c r="F14" s="1" t="n">
        <f aca="false">F8/2</f>
        <v>0</v>
      </c>
      <c r="G14" s="1" t="n">
        <f aca="false">G8/2</f>
        <v>5</v>
      </c>
    </row>
    <row r="15" customFormat="false" ht="15" hidden="false" customHeight="true" outlineLevel="0" collapsed="false">
      <c r="A15" s="1" t="s">
        <v>3</v>
      </c>
      <c r="B15" s="1" t="n">
        <f aca="false">B9+0.5*B14</f>
        <v>0.25</v>
      </c>
      <c r="C15" s="1" t="n">
        <f aca="false">C9+0.5*C14</f>
        <v>0</v>
      </c>
      <c r="D15" s="1" t="n">
        <f aca="false">D9+0.5*D14</f>
        <v>1</v>
      </c>
      <c r="E15" s="1" t="n">
        <f aca="false">E9+0.5*E14</f>
        <v>0</v>
      </c>
      <c r="F15" s="1" t="n">
        <f aca="false">F9+0.5*F14</f>
        <v>0.5</v>
      </c>
      <c r="G15" s="1" t="n">
        <f aca="false">G9+0.5*G14</f>
        <v>10</v>
      </c>
    </row>
    <row r="16" customFormat="false" ht="15" hidden="false" customHeight="true" outlineLevel="0" collapsed="false">
      <c r="A16" s="1" t="s">
        <v>11</v>
      </c>
      <c r="B16" s="1" t="n">
        <f aca="false">B10+10*B14</f>
        <v>5</v>
      </c>
      <c r="C16" s="1" t="n">
        <f aca="false">C10+10*C14</f>
        <v>0</v>
      </c>
      <c r="D16" s="1" t="n">
        <f aca="false">D10+10*D14</f>
        <v>0</v>
      </c>
      <c r="E16" s="1" t="n">
        <f aca="false">E10+10*E14</f>
        <v>5.25</v>
      </c>
      <c r="F16" s="1" t="n">
        <f aca="false">F10+10*F14</f>
        <v>5</v>
      </c>
      <c r="G16" s="1" t="n">
        <f aca="false">G10+10*G14</f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2026-10-23T22:52:49Z</dcterms:created>
  <dc:creator>openpyxl</dc:creator>
  <dc:description/>
  <dc:language>en-US</dc:language>
  <cp:lastModifiedBy/>
  <dcterms:modified xsi:type="dcterms:W3CDTF">2026-10-23T22:54:38Z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