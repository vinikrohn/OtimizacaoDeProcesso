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oratorio\Desktop\"/>
    </mc:Choice>
  </mc:AlternateContent>
  <xr:revisionPtr revIDLastSave="0" documentId="8_{FF93759D-370E-4912-BF45-6B9AEBC7D6B4}" xr6:coauthVersionLast="47" xr6:coauthVersionMax="47" xr10:uidLastSave="{00000000-0000-0000-0000-000000000000}"/>
  <bookViews>
    <workbookView xWindow="-120" yWindow="-120" windowWidth="29040" windowHeight="15720" xr2:uid="{F4A23C95-68A1-407E-B5D3-5F0907BD20B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6" i="1" l="1"/>
  <c r="B14" i="1"/>
  <c r="C14" i="1"/>
  <c r="B13" i="1"/>
  <c r="C13" i="1"/>
  <c r="E14" i="1"/>
  <c r="F14" i="1"/>
  <c r="G14" i="1"/>
  <c r="D14" i="1"/>
  <c r="E13" i="1"/>
  <c r="F13" i="1"/>
  <c r="G13" i="1"/>
  <c r="D13" i="1"/>
  <c r="B12" i="1"/>
  <c r="C12" i="1"/>
  <c r="E12" i="1"/>
  <c r="F12" i="1"/>
  <c r="G12" i="1"/>
  <c r="D12" i="1"/>
  <c r="H7" i="1"/>
  <c r="H8" i="1"/>
  <c r="C9" i="1"/>
  <c r="D9" i="1"/>
  <c r="E9" i="1"/>
  <c r="F9" i="1"/>
  <c r="G9" i="1"/>
  <c r="B9" i="1"/>
  <c r="C7" i="1"/>
  <c r="D7" i="1"/>
  <c r="E7" i="1"/>
  <c r="F7" i="1"/>
  <c r="G7" i="1"/>
  <c r="B7" i="1"/>
  <c r="G8" i="1"/>
  <c r="C8" i="1"/>
  <c r="D8" i="1"/>
  <c r="E8" i="1"/>
  <c r="F8" i="1"/>
  <c r="B8" i="1"/>
  <c r="H2" i="1"/>
</calcChain>
</file>

<file path=xl/sharedStrings.xml><?xml version="1.0" encoding="utf-8"?>
<sst xmlns="http://schemas.openxmlformats.org/spreadsheetml/2006/main" count="51" uniqueCount="9">
  <si>
    <t>BASE</t>
  </si>
  <si>
    <t>B</t>
  </si>
  <si>
    <t>X1</t>
  </si>
  <si>
    <t>X2</t>
  </si>
  <si>
    <t>X3</t>
  </si>
  <si>
    <t>F1</t>
  </si>
  <si>
    <t>F2</t>
  </si>
  <si>
    <t>Z</t>
  </si>
  <si>
    <t>RAZAO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</si>
</sst>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168" fontId="0" fillId="2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72E02-7254-48A3-AA92-D1F13650C5B0}">
  <dimension ref="A1:R16"/>
  <sheetViews>
    <sheetView tabSelected="1" zoomScale="145" zoomScaleNormal="145" workbookViewId="0">
      <selection activeCell="E21" sqref="E21"/>
    </sheetView>
  </sheetViews>
  <sheetFormatPr defaultRowHeight="15" x14ac:dyDescent="0.25"/>
  <sheetData>
    <row r="1" spans="1:18" x14ac:dyDescent="0.25">
      <c r="A1" s="1" t="s">
        <v>0</v>
      </c>
      <c r="B1" s="3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</v>
      </c>
      <c r="H1" s="1" t="s">
        <v>8</v>
      </c>
    </row>
    <row r="2" spans="1:18" x14ac:dyDescent="0.25">
      <c r="A2" s="1" t="s">
        <v>5</v>
      </c>
      <c r="B2" s="3">
        <v>3</v>
      </c>
      <c r="C2" s="1">
        <v>2</v>
      </c>
      <c r="D2" s="1">
        <v>5</v>
      </c>
      <c r="E2" s="1">
        <v>1</v>
      </c>
      <c r="F2" s="1">
        <v>0</v>
      </c>
      <c r="G2" s="1">
        <v>55</v>
      </c>
      <c r="H2" s="2">
        <f>G2/B2</f>
        <v>18.333333333333332</v>
      </c>
    </row>
    <row r="3" spans="1:18" x14ac:dyDescent="0.25">
      <c r="A3" s="3" t="s">
        <v>6</v>
      </c>
      <c r="B3" s="3">
        <v>2</v>
      </c>
      <c r="C3" s="3">
        <v>1</v>
      </c>
      <c r="D3" s="3">
        <v>1</v>
      </c>
      <c r="E3" s="3">
        <v>0</v>
      </c>
      <c r="F3" s="3">
        <v>1</v>
      </c>
      <c r="G3" s="3">
        <v>26</v>
      </c>
      <c r="H3" s="1">
        <v>13</v>
      </c>
    </row>
    <row r="4" spans="1:18" x14ac:dyDescent="0.25">
      <c r="A4" s="1" t="s">
        <v>7</v>
      </c>
      <c r="B4" s="3">
        <v>-20</v>
      </c>
      <c r="C4" s="1">
        <v>-10</v>
      </c>
      <c r="D4" s="1">
        <v>-15</v>
      </c>
      <c r="E4" s="1">
        <v>0</v>
      </c>
      <c r="F4" s="1">
        <v>0</v>
      </c>
      <c r="G4" s="1">
        <v>0</v>
      </c>
      <c r="L4" s="1" t="s">
        <v>0</v>
      </c>
      <c r="M4" s="1" t="s">
        <v>2</v>
      </c>
      <c r="N4" s="1" t="s">
        <v>3</v>
      </c>
      <c r="O4" s="8" t="s">
        <v>4</v>
      </c>
      <c r="P4" s="1" t="s">
        <v>5</v>
      </c>
      <c r="Q4" s="1" t="s">
        <v>6</v>
      </c>
      <c r="R4" s="1" t="s">
        <v>1</v>
      </c>
    </row>
    <row r="5" spans="1:18" x14ac:dyDescent="0.25">
      <c r="L5" s="1" t="s">
        <v>3</v>
      </c>
      <c r="M5" s="1">
        <v>1</v>
      </c>
      <c r="N5" s="1">
        <v>2</v>
      </c>
      <c r="O5" s="8">
        <v>0</v>
      </c>
      <c r="P5" s="1">
        <v>0.5</v>
      </c>
      <c r="Q5" s="1">
        <v>0</v>
      </c>
      <c r="R5" s="1">
        <v>10</v>
      </c>
    </row>
    <row r="6" spans="1:18" x14ac:dyDescent="0.25">
      <c r="A6" s="1" t="s">
        <v>0</v>
      </c>
      <c r="B6" s="1" t="s">
        <v>2</v>
      </c>
      <c r="C6" s="1" t="s">
        <v>3</v>
      </c>
      <c r="D6" s="4" t="s">
        <v>4</v>
      </c>
      <c r="E6" s="1" t="s">
        <v>5</v>
      </c>
      <c r="F6" s="1" t="s">
        <v>6</v>
      </c>
      <c r="G6" s="1" t="s">
        <v>1</v>
      </c>
      <c r="L6" s="8" t="s">
        <v>6</v>
      </c>
      <c r="M6" s="8">
        <v>2</v>
      </c>
      <c r="N6" s="8">
        <v>1</v>
      </c>
      <c r="O6" s="8">
        <v>1</v>
      </c>
      <c r="P6" s="8">
        <f>-1/4</f>
        <v>-0.25</v>
      </c>
      <c r="Q6" s="8">
        <v>1</v>
      </c>
      <c r="R6" s="8">
        <v>15</v>
      </c>
    </row>
    <row r="7" spans="1:18" x14ac:dyDescent="0.25">
      <c r="A7" s="1" t="s">
        <v>5</v>
      </c>
      <c r="B7" s="1">
        <f>B2-3*B8</f>
        <v>0</v>
      </c>
      <c r="C7" s="1">
        <f t="shared" ref="C7:G7" si="0">C2-3*C8</f>
        <v>0.5</v>
      </c>
      <c r="D7" s="4">
        <f t="shared" si="0"/>
        <v>3.5</v>
      </c>
      <c r="E7" s="1">
        <f t="shared" si="0"/>
        <v>1</v>
      </c>
      <c r="F7" s="1">
        <f t="shared" si="0"/>
        <v>-1.5</v>
      </c>
      <c r="G7" s="1">
        <f t="shared" si="0"/>
        <v>16</v>
      </c>
      <c r="H7" s="6">
        <f>G7/D7</f>
        <v>4.5714285714285712</v>
      </c>
      <c r="L7" s="1" t="s">
        <v>7</v>
      </c>
      <c r="M7" s="1">
        <v>0</v>
      </c>
      <c r="N7" s="1">
        <v>-5</v>
      </c>
      <c r="O7" s="8">
        <v>-10</v>
      </c>
      <c r="P7" s="1">
        <v>4</v>
      </c>
      <c r="Q7" s="1">
        <v>0</v>
      </c>
      <c r="R7" s="1">
        <v>250</v>
      </c>
    </row>
    <row r="8" spans="1:18" x14ac:dyDescent="0.25">
      <c r="A8" s="4" t="s">
        <v>2</v>
      </c>
      <c r="B8" s="4">
        <f>B3/2</f>
        <v>1</v>
      </c>
      <c r="C8" s="4">
        <f t="shared" ref="C8:G8" si="1">C3/2</f>
        <v>0.5</v>
      </c>
      <c r="D8" s="4">
        <f t="shared" si="1"/>
        <v>0.5</v>
      </c>
      <c r="E8" s="4">
        <f t="shared" si="1"/>
        <v>0</v>
      </c>
      <c r="F8" s="4">
        <f t="shared" si="1"/>
        <v>0.5</v>
      </c>
      <c r="G8" s="4">
        <f t="shared" si="1"/>
        <v>13</v>
      </c>
      <c r="H8" s="4">
        <f>G8/D8</f>
        <v>26</v>
      </c>
    </row>
    <row r="9" spans="1:18" x14ac:dyDescent="0.25">
      <c r="A9" s="1" t="s">
        <v>7</v>
      </c>
      <c r="B9" s="1">
        <f>B4+20*B8</f>
        <v>0</v>
      </c>
      <c r="C9" s="1">
        <f t="shared" ref="C9:G9" si="2">C4+20*C8</f>
        <v>0</v>
      </c>
      <c r="D9" s="4">
        <f t="shared" si="2"/>
        <v>-5</v>
      </c>
      <c r="E9" s="1">
        <f t="shared" si="2"/>
        <v>0</v>
      </c>
      <c r="F9" s="1">
        <f t="shared" si="2"/>
        <v>10</v>
      </c>
      <c r="G9" s="1">
        <f t="shared" si="2"/>
        <v>260</v>
      </c>
      <c r="L9" s="1" t="s">
        <v>0</v>
      </c>
      <c r="M9" s="1" t="s">
        <v>2</v>
      </c>
      <c r="N9" s="1" t="s">
        <v>3</v>
      </c>
      <c r="O9" s="8" t="s">
        <v>4</v>
      </c>
      <c r="P9" s="1" t="s">
        <v>5</v>
      </c>
      <c r="Q9" s="1" t="s">
        <v>6</v>
      </c>
      <c r="R9" s="1" t="s">
        <v>1</v>
      </c>
    </row>
    <row r="10" spans="1:18" x14ac:dyDescent="0.25">
      <c r="L10" s="1" t="s">
        <v>3</v>
      </c>
      <c r="M10" s="1"/>
      <c r="N10" s="1"/>
      <c r="O10" s="1"/>
      <c r="P10" s="1"/>
      <c r="Q10" s="1"/>
      <c r="R10" s="1"/>
    </row>
    <row r="11" spans="1:18" x14ac:dyDescent="0.25">
      <c r="A11" s="1" t="s">
        <v>0</v>
      </c>
      <c r="B11" s="1" t="s">
        <v>2</v>
      </c>
      <c r="C11" s="1" t="s">
        <v>3</v>
      </c>
      <c r="D11" s="4" t="s">
        <v>4</v>
      </c>
      <c r="E11" s="1" t="s">
        <v>5</v>
      </c>
      <c r="F11" s="1" t="s">
        <v>6</v>
      </c>
      <c r="G11" s="1" t="s">
        <v>1</v>
      </c>
      <c r="L11" s="8" t="s">
        <v>4</v>
      </c>
      <c r="M11" s="1"/>
      <c r="N11" s="1"/>
      <c r="O11" s="1"/>
      <c r="P11" s="1"/>
      <c r="Q11" s="1"/>
      <c r="R11" s="1"/>
    </row>
    <row r="12" spans="1:18" x14ac:dyDescent="0.25">
      <c r="A12" s="1" t="s">
        <v>4</v>
      </c>
      <c r="B12" s="7">
        <f t="shared" ref="B12:C12" si="3">B7/3.5</f>
        <v>0</v>
      </c>
      <c r="C12" s="7">
        <f t="shared" si="3"/>
        <v>0.14285714285714285</v>
      </c>
      <c r="D12" s="7">
        <f>D7/3.5</f>
        <v>1</v>
      </c>
      <c r="E12" s="7">
        <f t="shared" ref="E12:G12" si="4">E7/3.5</f>
        <v>0.2857142857142857</v>
      </c>
      <c r="F12" s="7">
        <f t="shared" si="4"/>
        <v>-0.42857142857142855</v>
      </c>
      <c r="G12" s="7">
        <f t="shared" si="4"/>
        <v>4.5714285714285712</v>
      </c>
      <c r="L12" s="1" t="s">
        <v>7</v>
      </c>
      <c r="M12" s="1"/>
      <c r="N12" s="1"/>
      <c r="O12" s="1"/>
      <c r="P12" s="1"/>
      <c r="Q12" s="1"/>
      <c r="R12" s="1"/>
    </row>
    <row r="13" spans="1:18" x14ac:dyDescent="0.25">
      <c r="A13" s="1" t="s">
        <v>2</v>
      </c>
      <c r="B13" s="7">
        <f t="shared" ref="B13:C13" si="5">B8-B12*0.5</f>
        <v>1</v>
      </c>
      <c r="C13" s="7">
        <f t="shared" si="5"/>
        <v>0.4285714285714286</v>
      </c>
      <c r="D13" s="7">
        <f>D8-D12*0.5</f>
        <v>0</v>
      </c>
      <c r="E13" s="7">
        <f t="shared" ref="E13:G13" si="6">E8-E12*0.5</f>
        <v>-0.14285714285714285</v>
      </c>
      <c r="F13" s="7">
        <f t="shared" si="6"/>
        <v>0.7142857142857143</v>
      </c>
      <c r="G13" s="7">
        <f t="shared" si="6"/>
        <v>10.714285714285715</v>
      </c>
    </row>
    <row r="14" spans="1:18" x14ac:dyDescent="0.25">
      <c r="A14" s="1" t="s">
        <v>7</v>
      </c>
      <c r="B14" s="7">
        <f t="shared" ref="B14:C14" si="7">B9+5*B12</f>
        <v>0</v>
      </c>
      <c r="C14" s="7">
        <f t="shared" si="7"/>
        <v>0.71428571428571419</v>
      </c>
      <c r="D14" s="7">
        <f>D9+5*D12</f>
        <v>0</v>
      </c>
      <c r="E14" s="7">
        <f t="shared" ref="E14:G14" si="8">E9+5*E12</f>
        <v>1.4285714285714284</v>
      </c>
      <c r="F14" s="7">
        <f t="shared" si="8"/>
        <v>7.8571428571428577</v>
      </c>
      <c r="G14" s="7">
        <f t="shared" si="8"/>
        <v>282.85714285714283</v>
      </c>
    </row>
    <row r="16" spans="1:18" x14ac:dyDescent="0.25">
      <c r="I16" s="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Universidade Franciscana - UFN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</dc:creator>
  <cp:lastModifiedBy>Laboratório</cp:lastModifiedBy>
  <dcterms:created xsi:type="dcterms:W3CDTF">2026-10-16T21:53:43Z</dcterms:created>
  <dcterms:modified xsi:type="dcterms:W3CDTF">2026-10-16T22:53:59Z</dcterms:modified>
</cp:coreProperties>
</file>