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<sst xmlns="http://schemas.openxmlformats.org/spreadsheetml/2006/main" count="48" uniqueCount="13">
  <si>
    <t xml:space="preserve">BASE</t>
  </si>
  <si>
    <t xml:space="preserve">X1</t>
  </si>
  <si>
    <t xml:space="preserve">X2</t>
  </si>
  <si>
    <t xml:space="preserve">X3</t>
  </si>
  <si>
    <t xml:space="preserve">X4</t>
  </si>
  <si>
    <t xml:space="preserve">F1</t>
  </si>
  <si>
    <t xml:space="preserve">F2</t>
  </si>
  <si>
    <t xml:space="preserve">F3</t>
  </si>
  <si>
    <t xml:space="preserve">B</t>
  </si>
  <si>
    <t xml:space="preserve">RAZAO</t>
  </si>
  <si>
    <t xml:space="preserve">Z</t>
  </si>
  <si>
    <t xml:space="preserve">RESPOSTA</t>
  </si>
  <si>
    <t xml:space="preserve">X1 = IPA, X2 = Stout, X3 = Pilsen, X4 = Weiss (lotes/semana)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</si>
</sst>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5" hidden="false" customHeight="false" outlineLevel="0" collapsed="false">
      <c r="A2" s="0" t="s">
        <v>5</v>
      </c>
      <c r="B2" s="0" t="n">
        <v>6</v>
      </c>
      <c r="C2" s="0" t="n">
        <v>5</v>
      </c>
      <c r="D2" s="0" t="n">
        <v>4</v>
      </c>
      <c r="E2" s="0" t="n">
        <v>4</v>
      </c>
      <c r="F2" s="0" t="n">
        <v>1</v>
      </c>
      <c r="G2" s="0" t="n">
        <v>0</v>
      </c>
      <c r="H2" s="0" t="n">
        <v>0</v>
      </c>
      <c r="I2" s="0" t="n">
        <v>300</v>
      </c>
      <c r="J2" s="0" t="n">
        <f aca="false">I2/B2</f>
        <v>50</v>
      </c>
    </row>
    <row r="3" customFormat="false" ht="15" hidden="false" customHeight="false" outlineLevel="0" collapsed="false">
      <c r="A3" s="0" t="s">
        <v>6</v>
      </c>
      <c r="B3" s="0" t="n">
        <v>3</v>
      </c>
      <c r="C3" s="0" t="n">
        <v>2</v>
      </c>
      <c r="D3" s="0" t="n">
        <v>1</v>
      </c>
      <c r="E3" s="0" t="n">
        <v>1</v>
      </c>
      <c r="F3" s="0" t="n">
        <v>0</v>
      </c>
      <c r="G3" s="0" t="n">
        <v>1</v>
      </c>
      <c r="H3" s="0" t="n">
        <v>0</v>
      </c>
      <c r="I3" s="0" t="n">
        <v>120</v>
      </c>
      <c r="J3" s="0" t="n">
        <f aca="false">I3/B3</f>
        <v>40</v>
      </c>
    </row>
    <row r="4" customFormat="false" ht="15" hidden="false" customHeight="false" outlineLevel="0" collapsed="false">
      <c r="A4" s="0" t="s">
        <v>7</v>
      </c>
      <c r="B4" s="0" t="n">
        <v>2</v>
      </c>
      <c r="C4" s="0" t="n">
        <v>2</v>
      </c>
      <c r="D4" s="0" t="n">
        <v>1</v>
      </c>
      <c r="E4" s="0" t="n">
        <v>3</v>
      </c>
      <c r="F4" s="0" t="n">
        <v>0</v>
      </c>
      <c r="G4" s="0" t="n">
        <v>0</v>
      </c>
      <c r="H4" s="0" t="n">
        <v>1</v>
      </c>
      <c r="I4" s="0" t="n">
        <v>160</v>
      </c>
      <c r="J4" s="0" t="n">
        <f aca="false">I4/B4</f>
        <v>80</v>
      </c>
    </row>
    <row r="5" customFormat="false" ht="15" hidden="false" customHeight="false" outlineLevel="0" collapsed="false">
      <c r="A5" s="0" t="s">
        <v>10</v>
      </c>
      <c r="B5" s="0" t="n">
        <v>-600</v>
      </c>
      <c r="C5" s="0" t="n">
        <v>-500</v>
      </c>
      <c r="D5" s="0" t="n">
        <v>-350</v>
      </c>
      <c r="E5" s="0" t="n">
        <v>-400</v>
      </c>
      <c r="F5" s="0" t="n">
        <v>0</v>
      </c>
      <c r="G5" s="0" t="n">
        <v>0</v>
      </c>
      <c r="H5" s="0" t="n">
        <v>0</v>
      </c>
      <c r="I5" s="0" t="n">
        <v>0</v>
      </c>
    </row>
    <row r="8" customFormat="false" ht="15" hidden="false" customHeight="false" outlineLevel="0" collapsed="false">
      <c r="A8" s="0" t="s">
        <v>0</v>
      </c>
      <c r="B8" s="0" t="s">
        <v>1</v>
      </c>
      <c r="C8" s="0" t="s">
        <v>2</v>
      </c>
      <c r="D8" s="0" t="s">
        <v>3</v>
      </c>
      <c r="E8" s="0" t="s">
        <v>4</v>
      </c>
      <c r="F8" s="0" t="s">
        <v>5</v>
      </c>
      <c r="G8" s="0" t="s">
        <v>6</v>
      </c>
      <c r="H8" s="0" t="s">
        <v>7</v>
      </c>
      <c r="I8" s="0" t="s">
        <v>8</v>
      </c>
      <c r="J8" s="0" t="s">
        <v>9</v>
      </c>
    </row>
    <row r="9" customFormat="false" ht="15" hidden="false" customHeight="false" outlineLevel="0" collapsed="false">
      <c r="A9" s="0" t="s">
        <v>5</v>
      </c>
      <c r="B9" s="0" t="n">
        <f aca="false">B2-6*B10</f>
        <v>0</v>
      </c>
      <c r="C9" s="0" t="n">
        <f aca="false">C2-6*C10</f>
        <v>1</v>
      </c>
      <c r="D9" s="0" t="n">
        <f aca="false">D2-6*D10</f>
        <v>2</v>
      </c>
      <c r="E9" s="0" t="n">
        <f aca="false">E2-6*E10</f>
        <v>2</v>
      </c>
      <c r="F9" s="0" t="n">
        <f aca="false">F2-6*F10</f>
        <v>1</v>
      </c>
      <c r="G9" s="0" t="n">
        <f aca="false">G2-6*G10</f>
        <v>-2</v>
      </c>
      <c r="H9" s="0" t="n">
        <f aca="false">H2-6*H10</f>
        <v>0</v>
      </c>
      <c r="I9" s="0" t="n">
        <f aca="false">I2-6*I10</f>
        <v>60</v>
      </c>
      <c r="J9" s="0" t="n">
        <f aca="false">I9/E9</f>
        <v>30</v>
      </c>
    </row>
    <row r="10" customFormat="false" ht="15" hidden="false" customHeight="false" outlineLevel="0" collapsed="false">
      <c r="A10" s="0" t="s">
        <v>1</v>
      </c>
      <c r="B10" s="0" t="n">
        <f aca="false">B3/3</f>
        <v>1</v>
      </c>
      <c r="C10" s="0" t="n">
        <f aca="false">C3/3</f>
        <v>0.666666666666667</v>
      </c>
      <c r="D10" s="0" t="n">
        <f aca="false">D3/3</f>
        <v>0.333333333333333</v>
      </c>
      <c r="E10" s="0" t="n">
        <f aca="false">E3/3</f>
        <v>0.333333333333333</v>
      </c>
      <c r="F10" s="0" t="n">
        <f aca="false">F3/3</f>
        <v>0</v>
      </c>
      <c r="G10" s="0" t="n">
        <f aca="false">G3/3</f>
        <v>0.333333333333333</v>
      </c>
      <c r="H10" s="0" t="n">
        <f aca="false">H3/3</f>
        <v>0</v>
      </c>
      <c r="I10" s="0" t="n">
        <f aca="false">I3/3</f>
        <v>40</v>
      </c>
      <c r="J10" s="0" t="n">
        <f aca="false">I10/E10</f>
        <v>120</v>
      </c>
    </row>
    <row r="11" customFormat="false" ht="15" hidden="false" customHeight="false" outlineLevel="0" collapsed="false">
      <c r="A11" s="0" t="s">
        <v>7</v>
      </c>
      <c r="B11" s="0" t="n">
        <f aca="false">B4-2*B10</f>
        <v>0</v>
      </c>
      <c r="C11" s="0" t="n">
        <f aca="false">C4-2*C10</f>
        <v>0.666666666666667</v>
      </c>
      <c r="D11" s="0" t="n">
        <f aca="false">D4-2*D10</f>
        <v>0.333333333333333</v>
      </c>
      <c r="E11" s="0" t="n">
        <f aca="false">E4-2*E10</f>
        <v>2.33333333333333</v>
      </c>
      <c r="F11" s="0" t="n">
        <f aca="false">F4-2*F10</f>
        <v>0</v>
      </c>
      <c r="G11" s="0" t="n">
        <f aca="false">G4-2*G10</f>
        <v>-0.666666666666667</v>
      </c>
      <c r="H11" s="0" t="n">
        <f aca="false">H4-2*H10</f>
        <v>1</v>
      </c>
      <c r="I11" s="0" t="n">
        <f aca="false">I4-2*I10</f>
        <v>80</v>
      </c>
      <c r="J11" s="0" t="n">
        <f aca="false">I11/E11</f>
        <v>34.2857142857143</v>
      </c>
    </row>
    <row r="12" customFormat="false" ht="15" hidden="false" customHeight="false" outlineLevel="0" collapsed="false">
      <c r="A12" s="0" t="s">
        <v>10</v>
      </c>
      <c r="B12" s="0" t="n">
        <f aca="false">B5+600*B10</f>
        <v>0</v>
      </c>
      <c r="C12" s="0" t="n">
        <f aca="false">C5+600*C10</f>
        <v>-100</v>
      </c>
      <c r="D12" s="0" t="n">
        <f aca="false">D5+600*D10</f>
        <v>-150</v>
      </c>
      <c r="E12" s="0" t="n">
        <f aca="false">E5+600*E10</f>
        <v>-200</v>
      </c>
      <c r="F12" s="0" t="n">
        <f aca="false">F5+600*F10</f>
        <v>0</v>
      </c>
      <c r="G12" s="0" t="n">
        <f aca="false">G5+600*G10</f>
        <v>200</v>
      </c>
      <c r="H12" s="0" t="n">
        <f aca="false">H5+600*H10</f>
        <v>0</v>
      </c>
      <c r="I12" s="0" t="n">
        <f aca="false">I5+600*I10</f>
        <v>24000</v>
      </c>
    </row>
    <row r="15" customFormat="false" ht="15" hidden="false" customHeight="false" outlineLevel="0" collapsed="false">
      <c r="A15" s="0" t="s">
        <v>0</v>
      </c>
      <c r="B15" s="0" t="s">
        <v>1</v>
      </c>
      <c r="C15" s="0" t="s">
        <v>2</v>
      </c>
      <c r="D15" s="0" t="s">
        <v>3</v>
      </c>
      <c r="E15" s="0" t="s">
        <v>4</v>
      </c>
      <c r="F15" s="0" t="s">
        <v>5</v>
      </c>
      <c r="G15" s="0" t="s">
        <v>6</v>
      </c>
      <c r="H15" s="0" t="s">
        <v>7</v>
      </c>
      <c r="I15" s="0" t="s">
        <v>8</v>
      </c>
    </row>
    <row r="16" customFormat="false" ht="15" hidden="false" customHeight="false" outlineLevel="0" collapsed="false">
      <c r="A16" s="0" t="s">
        <v>4</v>
      </c>
      <c r="B16" s="0" t="n">
        <f aca="false">B9/2</f>
        <v>0</v>
      </c>
      <c r="C16" s="0" t="n">
        <f aca="false">C9/2</f>
        <v>0.5</v>
      </c>
      <c r="D16" s="0" t="n">
        <f aca="false">D9/2</f>
        <v>1</v>
      </c>
      <c r="E16" s="0" t="n">
        <f aca="false">E9/2</f>
        <v>1</v>
      </c>
      <c r="F16" s="0" t="n">
        <f aca="false">F9/2</f>
        <v>0.5</v>
      </c>
      <c r="G16" s="0" t="n">
        <f aca="false">G9/2</f>
        <v>-1</v>
      </c>
      <c r="H16" s="0" t="n">
        <f aca="false">H9/2</f>
        <v>0</v>
      </c>
      <c r="I16" s="0" t="n">
        <f aca="false">I9/2</f>
        <v>30</v>
      </c>
    </row>
    <row r="17" customFormat="false" ht="15" hidden="false" customHeight="false" outlineLevel="0" collapsed="false">
      <c r="A17" s="0" t="s">
        <v>1</v>
      </c>
      <c r="B17" s="0" t="n">
        <f aca="false">B10-(1/3)*B16</f>
        <v>1</v>
      </c>
      <c r="C17" s="0" t="n">
        <f aca="false">C10-(1/3)*C16</f>
        <v>0.5</v>
      </c>
      <c r="D17" s="0" t="n">
        <f aca="false">D10-(1/3)*D16</f>
        <v>0</v>
      </c>
      <c r="E17" s="0" t="n">
        <f aca="false">E10-(1/3)*E16</f>
        <v>0</v>
      </c>
      <c r="F17" s="0" t="n">
        <f aca="false">F10-(1/3)*F16</f>
        <v>-0.166666666666667</v>
      </c>
      <c r="G17" s="0" t="n">
        <f aca="false">G10-(1/3)*G16</f>
        <v>0.666666666666667</v>
      </c>
      <c r="H17" s="0" t="n">
        <f aca="false">H10-(1/3)*H16</f>
        <v>0</v>
      </c>
      <c r="I17" s="0" t="n">
        <f aca="false">I10-(1/3)*I16</f>
        <v>30</v>
      </c>
    </row>
    <row r="18" customFormat="false" ht="15" hidden="false" customHeight="false" outlineLevel="0" collapsed="false">
      <c r="A18" s="0" t="s">
        <v>7</v>
      </c>
      <c r="B18" s="0" t="n">
        <f aca="false">B11-(7/3)*B16</f>
        <v>0</v>
      </c>
      <c r="C18" s="0" t="n">
        <f aca="false">C11-(7/3)*C16</f>
        <v>-0.5</v>
      </c>
      <c r="D18" s="0" t="n">
        <f aca="false">D11-(7/3)*D16</f>
        <v>-2</v>
      </c>
      <c r="E18" s="0" t="n">
        <f aca="false">E11-(7/3)*E16</f>
        <v>0</v>
      </c>
      <c r="F18" s="0" t="n">
        <f aca="false">F11-(7/3)*F16</f>
        <v>-1.16666666666667</v>
      </c>
      <c r="G18" s="0" t="n">
        <f aca="false">G11-(7/3)*G16</f>
        <v>1.66666666666667</v>
      </c>
      <c r="H18" s="0" t="n">
        <f aca="false">H11-(7/3)*H16</f>
        <v>1</v>
      </c>
      <c r="I18" s="0" t="n">
        <f aca="false">I11-(7/3)*I16</f>
        <v>10</v>
      </c>
    </row>
    <row r="19" customFormat="false" ht="15" hidden="false" customHeight="false" outlineLevel="0" collapsed="false">
      <c r="A19" s="0" t="s">
        <v>10</v>
      </c>
      <c r="B19" s="0" t="n">
        <f aca="false">B12+200*B16</f>
        <v>0</v>
      </c>
      <c r="C19" s="0" t="n">
        <f aca="false">C12+200*C16</f>
        <v>0</v>
      </c>
      <c r="D19" s="0" t="n">
        <f aca="false">D12+200*D16</f>
        <v>50</v>
      </c>
      <c r="E19" s="0" t="n">
        <f aca="false">E12+200*E16</f>
        <v>0</v>
      </c>
      <c r="F19" s="0" t="n">
        <f aca="false">F12+200*F16</f>
        <v>100</v>
      </c>
      <c r="G19" s="0" t="n">
        <f aca="false">G12+200*G16</f>
        <v>0</v>
      </c>
      <c r="H19" s="0" t="n">
        <f aca="false">H12+200*H16</f>
        <v>0</v>
      </c>
      <c r="I19" s="0" t="n">
        <f aca="false">I12+200*I16</f>
        <v>30000</v>
      </c>
    </row>
    <row r="21" customFormat="false" ht="15" hidden="false" customHeight="false" outlineLevel="0" collapsed="false">
      <c r="A21" s="0" t="s">
        <v>11</v>
      </c>
      <c r="D21" s="0" t="s">
        <v>12</v>
      </c>
    </row>
    <row r="22" customFormat="false" ht="15" hidden="false" customHeight="false" outlineLevel="0" collapsed="false">
      <c r="A22" s="0" t="s">
        <v>1</v>
      </c>
      <c r="B22" s="0" t="n">
        <f aca="false">I17</f>
        <v>30</v>
      </c>
    </row>
    <row r="23" customFormat="false" ht="15" hidden="false" customHeight="false" outlineLevel="0" collapsed="false">
      <c r="A23" s="0" t="s">
        <v>2</v>
      </c>
      <c r="B23" s="0" t="n">
        <v>0</v>
      </c>
    </row>
    <row r="24" customFormat="false" ht="15" hidden="false" customHeight="false" outlineLevel="0" collapsed="false">
      <c r="A24" s="0" t="s">
        <v>3</v>
      </c>
      <c r="B24" s="0" t="n">
        <v>0</v>
      </c>
    </row>
    <row r="25" customFormat="false" ht="15" hidden="false" customHeight="false" outlineLevel="0" collapsed="false">
      <c r="A25" s="0" t="s">
        <v>4</v>
      </c>
      <c r="B25" s="0" t="n">
        <f aca="false">I16</f>
        <v>30</v>
      </c>
    </row>
    <row r="26" customFormat="false" ht="15" hidden="false" customHeight="false" outlineLevel="0" collapsed="false">
      <c r="A26" s="0" t="s">
        <v>10</v>
      </c>
      <c r="B26" s="0" t="n">
        <f aca="false">I19</f>
        <v>30000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2026-10-23T22:41:07Z</dcterms:created>
  <dc:creator>openpyxl</dc:creator>
  <dc:description/>
  <dc:language>en-US</dc:language>
  <cp:lastModifiedBy/>
  <dcterms:modified xsi:type="dcterms:W3CDTF">2026-10-23T22:41:07Z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